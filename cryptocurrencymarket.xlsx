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mc:AlternateContent xmlns:mc="http://schemas.openxmlformats.org/markup-compatibility/2006">
    <mc:Choice Requires="x15">
      <x15ac:absPath xmlns:x15ac="http://schemas.microsoft.com/office/spreadsheetml/2010/11/ac" url="C:\Users\DELL\OneDrive\Desktop\"/>
    </mc:Choice>
  </mc:AlternateContent>
  <xr:revisionPtr revIDLastSave="0" documentId="13_ncr:1_{F09DF22B-BC4D-4F7A-BFCD-B97B8D95F87D}" xr6:coauthVersionLast="47" xr6:coauthVersionMax="47" xr10:uidLastSave="{00000000-0000-0000-0000-000000000000}"/>
  <bookViews>
    <workbookView xWindow="-108" yWindow="-108" windowWidth="23256" windowHeight="12456" firstSheet="1" activeTab="1" xr2:uid="{00000000-000D-0000-FFFF-FFFF00000000}"/>
  </bookViews>
  <sheets>
    <sheet name="Tables" sheetId="3" r:id="rId1"/>
    <sheet name="Final Dashboard" sheetId="4" r:id="rId2"/>
    <sheet name="Data" sheetId="1" r:id="rId3"/>
  </sheets>
  <definedNames>
    <definedName name="Slicer_Category">#N/A</definedName>
    <definedName name="Slicer_Country">#N/A</definedName>
    <definedName name="Slicer_Crypto_Name">#N/A</definedName>
    <definedName name="Slicer_Exchange">#N/A</definedName>
    <definedName name="Slicer_Launch_Year">#N/A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 r:id="rId9"/>
      </x14:slicerCaches>
    </ext>
    <ext xmlns:x14="http://schemas.microsoft.com/office/spreadsheetml/2009/9/main" uri="{79F54976-1DA5-4618-B147-4CDE4B953A38}">
      <x14:workbookPr/>
    </ext>
  </extLst>
</workbook>
</file>

<file path=xl/calcChain.xml><?xml version="1.0" encoding="utf-8"?>
<calcChain xmlns="http://schemas.openxmlformats.org/spreadsheetml/2006/main">
  <c r="G4" i="4" l="1"/>
  <c r="D4" i="4"/>
  <c r="A4" i="4"/>
  <c r="B2" i="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612" i="1"/>
  <c r="B613" i="1"/>
  <c r="B614" i="1"/>
  <c r="B615" i="1"/>
  <c r="B616" i="1"/>
  <c r="B617" i="1"/>
  <c r="B618" i="1"/>
  <c r="B619" i="1"/>
  <c r="B620" i="1"/>
  <c r="B621" i="1"/>
  <c r="B622" i="1"/>
  <c r="B623" i="1"/>
  <c r="B624" i="1"/>
  <c r="B625" i="1"/>
  <c r="B626" i="1"/>
  <c r="B627" i="1"/>
  <c r="B628" i="1"/>
  <c r="B629" i="1"/>
  <c r="B630" i="1"/>
  <c r="B631" i="1"/>
  <c r="B632" i="1"/>
  <c r="B633" i="1"/>
  <c r="B634" i="1"/>
  <c r="B635" i="1"/>
  <c r="B636" i="1"/>
  <c r="B637" i="1"/>
  <c r="B638" i="1"/>
  <c r="B639" i="1"/>
  <c r="B640" i="1"/>
  <c r="B641" i="1"/>
  <c r="B642" i="1"/>
  <c r="B643" i="1"/>
  <c r="B644" i="1"/>
  <c r="B645" i="1"/>
  <c r="B646" i="1"/>
  <c r="B647" i="1"/>
  <c r="B648" i="1"/>
  <c r="B649" i="1"/>
  <c r="B650" i="1"/>
  <c r="B651" i="1"/>
  <c r="B652" i="1"/>
  <c r="B653" i="1"/>
  <c r="B654"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B696" i="1"/>
  <c r="B697" i="1"/>
  <c r="B698" i="1"/>
  <c r="B699" i="1"/>
  <c r="B700" i="1"/>
  <c r="B701" i="1"/>
  <c r="B702" i="1"/>
  <c r="B703" i="1"/>
  <c r="B704" i="1"/>
  <c r="B705" i="1"/>
  <c r="B706" i="1"/>
  <c r="B707" i="1"/>
  <c r="B708" i="1"/>
  <c r="B709" i="1"/>
  <c r="B710" i="1"/>
  <c r="B711" i="1"/>
  <c r="B712" i="1"/>
  <c r="B713" i="1"/>
  <c r="B714" i="1"/>
  <c r="B715" i="1"/>
  <c r="B716" i="1"/>
  <c r="B717" i="1"/>
  <c r="B718" i="1"/>
  <c r="B719" i="1"/>
  <c r="B720" i="1"/>
  <c r="B721" i="1"/>
  <c r="B722" i="1"/>
  <c r="B723" i="1"/>
  <c r="B724" i="1"/>
  <c r="B725" i="1"/>
  <c r="B726" i="1"/>
  <c r="B727" i="1"/>
  <c r="B728" i="1"/>
  <c r="B729" i="1"/>
  <c r="B730" i="1"/>
  <c r="B731" i="1"/>
  <c r="B732" i="1"/>
  <c r="B733" i="1"/>
  <c r="B734" i="1"/>
  <c r="B735" i="1"/>
  <c r="B736" i="1"/>
  <c r="B737" i="1"/>
  <c r="B738" i="1"/>
  <c r="B739" i="1"/>
  <c r="B740" i="1"/>
  <c r="B741" i="1"/>
  <c r="B742" i="1"/>
  <c r="B743" i="1"/>
  <c r="B744" i="1"/>
  <c r="B745" i="1"/>
  <c r="B746" i="1"/>
  <c r="B747" i="1"/>
  <c r="B748" i="1"/>
  <c r="B749" i="1"/>
  <c r="B750" i="1"/>
  <c r="B751" i="1"/>
  <c r="B752" i="1"/>
  <c r="B753" i="1"/>
  <c r="B754" i="1"/>
  <c r="B755" i="1"/>
  <c r="B756" i="1"/>
  <c r="B757" i="1"/>
  <c r="B758" i="1"/>
  <c r="B759" i="1"/>
  <c r="B760" i="1"/>
  <c r="B761" i="1"/>
  <c r="B762" i="1"/>
  <c r="B763" i="1"/>
  <c r="B764" i="1"/>
  <c r="B765" i="1"/>
  <c r="B766" i="1"/>
  <c r="B767" i="1"/>
  <c r="B768" i="1"/>
  <c r="B769" i="1"/>
  <c r="B770" i="1"/>
  <c r="B771" i="1"/>
  <c r="B772" i="1"/>
  <c r="B773" i="1"/>
  <c r="B774" i="1"/>
  <c r="B775" i="1"/>
  <c r="B776" i="1"/>
  <c r="B777" i="1"/>
  <c r="B778" i="1"/>
  <c r="B779" i="1"/>
  <c r="B780" i="1"/>
  <c r="B781" i="1"/>
  <c r="B782" i="1"/>
  <c r="B783" i="1"/>
  <c r="B784" i="1"/>
  <c r="B785" i="1"/>
  <c r="B786" i="1"/>
  <c r="B787" i="1"/>
  <c r="B788" i="1"/>
  <c r="B789" i="1"/>
  <c r="B790" i="1"/>
  <c r="B791" i="1"/>
  <c r="B792" i="1"/>
  <c r="B793" i="1"/>
  <c r="B794" i="1"/>
  <c r="B795" i="1"/>
  <c r="B796" i="1"/>
  <c r="B797" i="1"/>
  <c r="B798" i="1"/>
  <c r="B799" i="1"/>
  <c r="B800" i="1"/>
  <c r="B801" i="1"/>
  <c r="B802" i="1"/>
  <c r="B803" i="1"/>
  <c r="B804" i="1"/>
  <c r="B805" i="1"/>
  <c r="B806" i="1"/>
  <c r="B807" i="1"/>
  <c r="B808" i="1"/>
  <c r="B809" i="1"/>
  <c r="B810" i="1"/>
  <c r="B811" i="1"/>
  <c r="B812" i="1"/>
  <c r="B813" i="1"/>
  <c r="B814" i="1"/>
  <c r="B815" i="1"/>
  <c r="B816" i="1"/>
  <c r="B817" i="1"/>
  <c r="B818" i="1"/>
  <c r="B819" i="1"/>
  <c r="B820" i="1"/>
  <c r="B821" i="1"/>
  <c r="B822" i="1"/>
  <c r="B823" i="1"/>
  <c r="B824" i="1"/>
  <c r="B825" i="1"/>
  <c r="B826" i="1"/>
  <c r="B827" i="1"/>
  <c r="B828" i="1"/>
  <c r="B829" i="1"/>
  <c r="B830" i="1"/>
  <c r="B831" i="1"/>
  <c r="B832" i="1"/>
  <c r="B833" i="1"/>
  <c r="B834" i="1"/>
  <c r="B835" i="1"/>
  <c r="B836" i="1"/>
  <c r="B837" i="1"/>
  <c r="B838" i="1"/>
  <c r="B839" i="1"/>
  <c r="B840" i="1"/>
  <c r="B841" i="1"/>
  <c r="B842" i="1"/>
  <c r="B843" i="1"/>
  <c r="B844" i="1"/>
  <c r="B845" i="1"/>
  <c r="B846" i="1"/>
  <c r="B847" i="1"/>
  <c r="B848" i="1"/>
  <c r="B849" i="1"/>
  <c r="B850" i="1"/>
  <c r="B851" i="1"/>
  <c r="B852" i="1"/>
  <c r="B853" i="1"/>
  <c r="B854" i="1"/>
  <c r="B855" i="1"/>
  <c r="B856" i="1"/>
  <c r="B857" i="1"/>
  <c r="B858" i="1"/>
  <c r="B859" i="1"/>
  <c r="B860" i="1"/>
  <c r="B861" i="1"/>
  <c r="B862" i="1"/>
  <c r="B863" i="1"/>
  <c r="B864" i="1"/>
  <c r="B865" i="1"/>
  <c r="B866" i="1"/>
  <c r="B867" i="1"/>
  <c r="B868" i="1"/>
  <c r="B869" i="1"/>
  <c r="B870" i="1"/>
  <c r="B871" i="1"/>
  <c r="B872" i="1"/>
  <c r="B873" i="1"/>
  <c r="B874" i="1"/>
  <c r="B875" i="1"/>
  <c r="B876" i="1"/>
  <c r="B877" i="1"/>
  <c r="B878" i="1"/>
  <c r="B879" i="1"/>
  <c r="B880" i="1"/>
  <c r="B881" i="1"/>
  <c r="B882" i="1"/>
  <c r="B883" i="1"/>
  <c r="B884" i="1"/>
  <c r="B885" i="1"/>
  <c r="B886" i="1"/>
  <c r="B887" i="1"/>
  <c r="B888" i="1"/>
  <c r="B889" i="1"/>
  <c r="B890" i="1"/>
  <c r="B891" i="1"/>
  <c r="B892" i="1"/>
  <c r="B893" i="1"/>
  <c r="B894" i="1"/>
  <c r="B895" i="1"/>
  <c r="B896" i="1"/>
  <c r="B897" i="1"/>
  <c r="B898" i="1"/>
  <c r="B899" i="1"/>
  <c r="B900" i="1"/>
  <c r="B901" i="1"/>
  <c r="B902" i="1"/>
  <c r="B903" i="1"/>
  <c r="B904" i="1"/>
  <c r="B905" i="1"/>
  <c r="B906" i="1"/>
  <c r="B907" i="1"/>
  <c r="B908" i="1"/>
  <c r="B909" i="1"/>
  <c r="B910" i="1"/>
  <c r="B911" i="1"/>
  <c r="B912" i="1"/>
  <c r="B913" i="1"/>
  <c r="B914" i="1"/>
  <c r="B915" i="1"/>
  <c r="B916" i="1"/>
  <c r="B917" i="1"/>
  <c r="B918" i="1"/>
  <c r="B919" i="1"/>
  <c r="B920" i="1"/>
  <c r="B921" i="1"/>
  <c r="B922" i="1"/>
  <c r="B923" i="1"/>
  <c r="B924" i="1"/>
  <c r="B925" i="1"/>
  <c r="B926" i="1"/>
  <c r="B927" i="1"/>
  <c r="B928" i="1"/>
  <c r="B929" i="1"/>
  <c r="B930" i="1"/>
  <c r="B931" i="1"/>
  <c r="B932" i="1"/>
  <c r="B933" i="1"/>
  <c r="B934" i="1"/>
  <c r="B935" i="1"/>
  <c r="B936" i="1"/>
  <c r="B937" i="1"/>
  <c r="B938" i="1"/>
  <c r="B939" i="1"/>
  <c r="B940" i="1"/>
  <c r="B941" i="1"/>
  <c r="B942" i="1"/>
  <c r="B943" i="1"/>
  <c r="B944" i="1"/>
  <c r="B945" i="1"/>
  <c r="B946" i="1"/>
  <c r="B947" i="1"/>
  <c r="B948" i="1"/>
  <c r="B949" i="1"/>
  <c r="B950" i="1"/>
  <c r="B951" i="1"/>
  <c r="B952" i="1"/>
  <c r="B953" i="1"/>
  <c r="B954" i="1"/>
  <c r="B955" i="1"/>
  <c r="B956" i="1"/>
  <c r="B957" i="1"/>
  <c r="B958" i="1"/>
  <c r="B959" i="1"/>
  <c r="B960" i="1"/>
  <c r="B961" i="1"/>
  <c r="B962" i="1"/>
  <c r="B963" i="1"/>
  <c r="B964" i="1"/>
  <c r="B965" i="1"/>
  <c r="B966" i="1"/>
  <c r="B967" i="1"/>
  <c r="B968" i="1"/>
  <c r="B969" i="1"/>
  <c r="B970" i="1"/>
  <c r="B971" i="1"/>
  <c r="B972" i="1"/>
  <c r="B973" i="1"/>
  <c r="B974" i="1"/>
  <c r="B975" i="1"/>
  <c r="B976" i="1"/>
  <c r="B977" i="1"/>
  <c r="B978" i="1"/>
  <c r="B979" i="1"/>
  <c r="B980" i="1"/>
  <c r="B981" i="1"/>
  <c r="B982" i="1"/>
  <c r="B983" i="1"/>
  <c r="B984" i="1"/>
  <c r="B985" i="1"/>
  <c r="B986" i="1"/>
  <c r="B987" i="1"/>
  <c r="B988" i="1"/>
  <c r="B989" i="1"/>
  <c r="B990" i="1"/>
  <c r="B991" i="1"/>
  <c r="B992" i="1"/>
  <c r="B993" i="1"/>
  <c r="B994" i="1"/>
  <c r="B995" i="1"/>
  <c r="B996" i="1"/>
  <c r="B997" i="1"/>
  <c r="B998" i="1"/>
  <c r="B999" i="1"/>
  <c r="B1000" i="1"/>
  <c r="B1001" i="1"/>
</calcChain>
</file>

<file path=xl/sharedStrings.xml><?xml version="1.0" encoding="utf-8"?>
<sst xmlns="http://schemas.openxmlformats.org/spreadsheetml/2006/main" count="7103" uniqueCount="443">
  <si>
    <t>Date</t>
  </si>
  <si>
    <t>Crypto_Name</t>
  </si>
  <si>
    <t>Symbol</t>
  </si>
  <si>
    <t>Market_Cap_USD</t>
  </si>
  <si>
    <t>Price_USD</t>
  </si>
  <si>
    <t>Volume_24h_USD</t>
  </si>
  <si>
    <t>Circulating_Supply</t>
  </si>
  <si>
    <t>Total_Supply</t>
  </si>
  <si>
    <t>Max_Supply</t>
  </si>
  <si>
    <t>Market_Dominance_%</t>
  </si>
  <si>
    <t>Change_1h_%</t>
  </si>
  <si>
    <t>Change_24h_%</t>
  </si>
  <si>
    <t>Change_7d_%</t>
  </si>
  <si>
    <t>Rank</t>
  </si>
  <si>
    <t>Category</t>
  </si>
  <si>
    <t>Exchange</t>
  </si>
  <si>
    <t>Country</t>
  </si>
  <si>
    <t>Launch_Year</t>
  </si>
  <si>
    <t>Mining_Type</t>
  </si>
  <si>
    <t>Transaction_Speed_TPS</t>
  </si>
  <si>
    <t>Energy_Usage_Index</t>
  </si>
  <si>
    <t>Adoption_Score</t>
  </si>
  <si>
    <t>Developer_Activity</t>
  </si>
  <si>
    <t>Community_Score</t>
  </si>
  <si>
    <t>2024-07-18</t>
  </si>
  <si>
    <t>Litecoin</t>
  </si>
  <si>
    <t>LTC</t>
  </si>
  <si>
    <t>Smart Contract</t>
  </si>
  <si>
    <t>Kraken</t>
  </si>
  <si>
    <t>Germany</t>
  </si>
  <si>
    <t>PoW</t>
  </si>
  <si>
    <t>2024-02-09</t>
  </si>
  <si>
    <t>Binance Coin</t>
  </si>
  <si>
    <t>BNB</t>
  </si>
  <si>
    <t>Binance</t>
  </si>
  <si>
    <t>UK</t>
  </si>
  <si>
    <t>PoS</t>
  </si>
  <si>
    <t>2024-01-14</t>
  </si>
  <si>
    <t>Cardano</t>
  </si>
  <si>
    <t>ADA</t>
  </si>
  <si>
    <t>Payment</t>
  </si>
  <si>
    <t>KuCoin</t>
  </si>
  <si>
    <t>Singapore</t>
  </si>
  <si>
    <t>2024-11-23</t>
  </si>
  <si>
    <t>Solana</t>
  </si>
  <si>
    <t>SOL</t>
  </si>
  <si>
    <t>DeFi</t>
  </si>
  <si>
    <t>Coinbase</t>
  </si>
  <si>
    <t>2024-12-25</t>
  </si>
  <si>
    <t>Polkadot</t>
  </si>
  <si>
    <t>DOT</t>
  </si>
  <si>
    <t>Meme</t>
  </si>
  <si>
    <t>2024-08-05</t>
  </si>
  <si>
    <t>Layer1</t>
  </si>
  <si>
    <t>2024-02-22</t>
  </si>
  <si>
    <t>Ripple</t>
  </si>
  <si>
    <t>XRP</t>
  </si>
  <si>
    <t>Bybit</t>
  </si>
  <si>
    <t>Consensus</t>
  </si>
  <si>
    <t>2024-01-16</t>
  </si>
  <si>
    <t>Dogecoin</t>
  </si>
  <si>
    <t>DOGE</t>
  </si>
  <si>
    <t>2024-05-25</t>
  </si>
  <si>
    <t>2024-06-22</t>
  </si>
  <si>
    <t>Japan</t>
  </si>
  <si>
    <t>2024-05-01</t>
  </si>
  <si>
    <t>2024-04-05</t>
  </si>
  <si>
    <t>2024-03-17</t>
  </si>
  <si>
    <t>Avalanche</t>
  </si>
  <si>
    <t>AVAX</t>
  </si>
  <si>
    <t>2024-12-23</t>
  </si>
  <si>
    <t>2024-08-23</t>
  </si>
  <si>
    <t>2024-05-13</t>
  </si>
  <si>
    <t>2024-05-09</t>
  </si>
  <si>
    <t>USA</t>
  </si>
  <si>
    <t>2024-08-20</t>
  </si>
  <si>
    <t>2024-08-19</t>
  </si>
  <si>
    <t>2024-01-15</t>
  </si>
  <si>
    <t>Ethereum</t>
  </si>
  <si>
    <t>ETH</t>
  </si>
  <si>
    <t>2024-10-27</t>
  </si>
  <si>
    <t>2024-02-25</t>
  </si>
  <si>
    <t>2024-06-09</t>
  </si>
  <si>
    <t>2024-01-20</t>
  </si>
  <si>
    <t>2024-07-08</t>
  </si>
  <si>
    <t>2024-09-29</t>
  </si>
  <si>
    <t>2024-04-16</t>
  </si>
  <si>
    <t>2024-06-26</t>
  </si>
  <si>
    <t>2024-03-15</t>
  </si>
  <si>
    <t>2024-08-17</t>
  </si>
  <si>
    <t>Bitcoin</t>
  </si>
  <si>
    <t>BTC</t>
  </si>
  <si>
    <t>2024-01-03</t>
  </si>
  <si>
    <t>2024-01-27</t>
  </si>
  <si>
    <t>2024-02-05</t>
  </si>
  <si>
    <t>2024-03-09</t>
  </si>
  <si>
    <t>2024-07-04</t>
  </si>
  <si>
    <t>2024-05-18</t>
  </si>
  <si>
    <t>2024-08-01</t>
  </si>
  <si>
    <t>2024-08-07</t>
  </si>
  <si>
    <t>2024-07-09</t>
  </si>
  <si>
    <t>2024-06-05</t>
  </si>
  <si>
    <t>2024-10-23</t>
  </si>
  <si>
    <t>2024-12-19</t>
  </si>
  <si>
    <t>2024-10-17</t>
  </si>
  <si>
    <t>2024-03-25</t>
  </si>
  <si>
    <t>2024-11-06</t>
  </si>
  <si>
    <t>2024-01-04</t>
  </si>
  <si>
    <t>2024-07-02</t>
  </si>
  <si>
    <t>2024-12-29</t>
  </si>
  <si>
    <t>2024-08-08</t>
  </si>
  <si>
    <t>2024-02-20</t>
  </si>
  <si>
    <t>2024-02-27</t>
  </si>
  <si>
    <t>2024-03-22</t>
  </si>
  <si>
    <t>2024-01-08</t>
  </si>
  <si>
    <t>2024-05-11</t>
  </si>
  <si>
    <t>2024-02-06</t>
  </si>
  <si>
    <t>2024-04-04</t>
  </si>
  <si>
    <t>2024-11-13</t>
  </si>
  <si>
    <t>2024-05-24</t>
  </si>
  <si>
    <t>2024-02-04</t>
  </si>
  <si>
    <t>2024-03-19</t>
  </si>
  <si>
    <t>2024-07-13</t>
  </si>
  <si>
    <t>2024-07-03</t>
  </si>
  <si>
    <t>2024-09-18</t>
  </si>
  <si>
    <t>2024-03-24</t>
  </si>
  <si>
    <t>2024-08-12</t>
  </si>
  <si>
    <t>2024-09-05</t>
  </si>
  <si>
    <t>2024-11-03</t>
  </si>
  <si>
    <t>2024-01-29</t>
  </si>
  <si>
    <t>2024-05-30</t>
  </si>
  <si>
    <t>2024-06-01</t>
  </si>
  <si>
    <t>2024-10-04</t>
  </si>
  <si>
    <t>2024-01-24</t>
  </si>
  <si>
    <t>2024-03-05</t>
  </si>
  <si>
    <t>2024-11-21</t>
  </si>
  <si>
    <t>2024-08-16</t>
  </si>
  <si>
    <t>2024-10-06</t>
  </si>
  <si>
    <t>2024-02-19</t>
  </si>
  <si>
    <t>2024-07-28</t>
  </si>
  <si>
    <t>2024-06-04</t>
  </si>
  <si>
    <t>2024-08-11</t>
  </si>
  <si>
    <t>2024-04-13</t>
  </si>
  <si>
    <t>2024-06-06</t>
  </si>
  <si>
    <t>2024-12-18</t>
  </si>
  <si>
    <t>2024-11-22</t>
  </si>
  <si>
    <t>2024-06-08</t>
  </si>
  <si>
    <t>2024-03-30</t>
  </si>
  <si>
    <t>2024-09-16</t>
  </si>
  <si>
    <t>2024-09-21</t>
  </si>
  <si>
    <t>2024-08-04</t>
  </si>
  <si>
    <t>2024-11-01</t>
  </si>
  <si>
    <t>2024-12-03</t>
  </si>
  <si>
    <t>2024-01-12</t>
  </si>
  <si>
    <t>2024-03-14</t>
  </si>
  <si>
    <t>2024-12-28</t>
  </si>
  <si>
    <t>2024-02-21</t>
  </si>
  <si>
    <t>2024-01-05</t>
  </si>
  <si>
    <t>2024-07-23</t>
  </si>
  <si>
    <t>2024-10-10</t>
  </si>
  <si>
    <t>2024-08-28</t>
  </si>
  <si>
    <t>2024-07-15</t>
  </si>
  <si>
    <t>2024-10-30</t>
  </si>
  <si>
    <t>2024-10-20</t>
  </si>
  <si>
    <t>2024-09-25</t>
  </si>
  <si>
    <t>2024-07-05</t>
  </si>
  <si>
    <t>2024-11-20</t>
  </si>
  <si>
    <t>2024-06-27</t>
  </si>
  <si>
    <t>2024-04-19</t>
  </si>
  <si>
    <t>2024-04-17</t>
  </si>
  <si>
    <t>2024-09-20</t>
  </si>
  <si>
    <t>2024-11-27</t>
  </si>
  <si>
    <t>2024-08-13</t>
  </si>
  <si>
    <t>2024-11-07</t>
  </si>
  <si>
    <t>2024-06-15</t>
  </si>
  <si>
    <t>2024-12-12</t>
  </si>
  <si>
    <t>2024-04-20</t>
  </si>
  <si>
    <t>2024-01-30</t>
  </si>
  <si>
    <t>2024-09-09</t>
  </si>
  <si>
    <t>2024-07-11</t>
  </si>
  <si>
    <t>2024-04-28</t>
  </si>
  <si>
    <t>2024-12-02</t>
  </si>
  <si>
    <t>2024-06-18</t>
  </si>
  <si>
    <t>2024-10-14</t>
  </si>
  <si>
    <t>2024-05-28</t>
  </si>
  <si>
    <t>2024-02-29</t>
  </si>
  <si>
    <t>2024-09-07</t>
  </si>
  <si>
    <t>2024-06-29</t>
  </si>
  <si>
    <t>2024-12-26</t>
  </si>
  <si>
    <t>2024-09-26</t>
  </si>
  <si>
    <t>2024-08-03</t>
  </si>
  <si>
    <t>2024-07-16</t>
  </si>
  <si>
    <t>2024-06-12</t>
  </si>
  <si>
    <t>2024-10-09</t>
  </si>
  <si>
    <t>2024-10-16</t>
  </si>
  <si>
    <t>2024-11-10</t>
  </si>
  <si>
    <t>2024-04-10</t>
  </si>
  <si>
    <t>2024-04-06</t>
  </si>
  <si>
    <t>2024-06-28</t>
  </si>
  <si>
    <t>2024-01-18</t>
  </si>
  <si>
    <t>2024-04-02</t>
  </si>
  <si>
    <t>2024-05-16</t>
  </si>
  <si>
    <t>2024-08-26</t>
  </si>
  <si>
    <t>2024-02-17</t>
  </si>
  <si>
    <t>2024-11-18</t>
  </si>
  <si>
    <t>2024-12-10</t>
  </si>
  <si>
    <t>2024-07-17</t>
  </si>
  <si>
    <t>2024-04-27</t>
  </si>
  <si>
    <t>2024-01-01</t>
  </si>
  <si>
    <t>2024-12-30</t>
  </si>
  <si>
    <t>2024-02-15</t>
  </si>
  <si>
    <t>2024-01-02</t>
  </si>
  <si>
    <t>2024-10-24</t>
  </si>
  <si>
    <t>2024-12-07</t>
  </si>
  <si>
    <t>2024-08-09</t>
  </si>
  <si>
    <t>2024-04-30</t>
  </si>
  <si>
    <t>2024-09-10</t>
  </si>
  <si>
    <t>2024-08-24</t>
  </si>
  <si>
    <t>2024-02-11</t>
  </si>
  <si>
    <t>2024-01-22</t>
  </si>
  <si>
    <t>2024-09-14</t>
  </si>
  <si>
    <t>2024-04-23</t>
  </si>
  <si>
    <t>2024-06-30</t>
  </si>
  <si>
    <t>2024-07-07</t>
  </si>
  <si>
    <t>2024-06-25</t>
  </si>
  <si>
    <t>2024-09-11</t>
  </si>
  <si>
    <t>2024-07-06</t>
  </si>
  <si>
    <t>2024-03-08</t>
  </si>
  <si>
    <t>2024-01-11</t>
  </si>
  <si>
    <t>2024-10-29</t>
  </si>
  <si>
    <t>2024-04-03</t>
  </si>
  <si>
    <t>2024-05-29</t>
  </si>
  <si>
    <t>2024-10-08</t>
  </si>
  <si>
    <t>2024-09-23</t>
  </si>
  <si>
    <t>2024-04-21</t>
  </si>
  <si>
    <t>2024-11-09</t>
  </si>
  <si>
    <t>2024-01-06</t>
  </si>
  <si>
    <t>2024-08-30</t>
  </si>
  <si>
    <t>2024-04-14</t>
  </si>
  <si>
    <t>2024-07-21</t>
  </si>
  <si>
    <t>2024-11-11</t>
  </si>
  <si>
    <t>2024-02-01</t>
  </si>
  <si>
    <t>2024-10-21</t>
  </si>
  <si>
    <t>2024-09-24</t>
  </si>
  <si>
    <t>2024-06-17</t>
  </si>
  <si>
    <t>2024-12-27</t>
  </si>
  <si>
    <t>2024-09-08</t>
  </si>
  <si>
    <t>2024-10-22</t>
  </si>
  <si>
    <t>2024-05-17</t>
  </si>
  <si>
    <t>2024-05-23</t>
  </si>
  <si>
    <t>2024-06-24</t>
  </si>
  <si>
    <t>2024-05-15</t>
  </si>
  <si>
    <t>2024-04-12</t>
  </si>
  <si>
    <t>2024-06-21</t>
  </si>
  <si>
    <t>2024-10-18</t>
  </si>
  <si>
    <t>2024-06-16</t>
  </si>
  <si>
    <t>2024-06-13</t>
  </si>
  <si>
    <t>2024-03-12</t>
  </si>
  <si>
    <t>2024-03-27</t>
  </si>
  <si>
    <t>2024-07-29</t>
  </si>
  <si>
    <t>2024-07-10</t>
  </si>
  <si>
    <t>2024-02-24</t>
  </si>
  <si>
    <t>2024-04-25</t>
  </si>
  <si>
    <t>2024-04-26</t>
  </si>
  <si>
    <t>2024-02-14</t>
  </si>
  <si>
    <t>2024-09-28</t>
  </si>
  <si>
    <t>2024-07-01</t>
  </si>
  <si>
    <t>2024-07-14</t>
  </si>
  <si>
    <t>2024-10-03</t>
  </si>
  <si>
    <t>2024-07-25</t>
  </si>
  <si>
    <t>2024-05-27</t>
  </si>
  <si>
    <t>2024-05-04</t>
  </si>
  <si>
    <t>2024-11-28</t>
  </si>
  <si>
    <t>2024-03-18</t>
  </si>
  <si>
    <t>2024-01-10</t>
  </si>
  <si>
    <t>2024-12-31</t>
  </si>
  <si>
    <t>2024-04-24</t>
  </si>
  <si>
    <t>2024-12-05</t>
  </si>
  <si>
    <t>2024-08-15</t>
  </si>
  <si>
    <t>2024-11-19</t>
  </si>
  <si>
    <t>2024-11-17</t>
  </si>
  <si>
    <t>2024-05-14</t>
  </si>
  <si>
    <t>2024-02-07</t>
  </si>
  <si>
    <t>2024-12-13</t>
  </si>
  <si>
    <t>2024-06-02</t>
  </si>
  <si>
    <t>2024-12-01</t>
  </si>
  <si>
    <t>2024-03-02</t>
  </si>
  <si>
    <t>2024-01-21</t>
  </si>
  <si>
    <t>2024-03-10</t>
  </si>
  <si>
    <t>2024-07-27</t>
  </si>
  <si>
    <t>2024-03-01</t>
  </si>
  <si>
    <t>2024-11-24</t>
  </si>
  <si>
    <t>2024-03-16</t>
  </si>
  <si>
    <t>2024-08-06</t>
  </si>
  <si>
    <t>2024-06-23</t>
  </si>
  <si>
    <t>2024-09-04</t>
  </si>
  <si>
    <t>2024-01-07</t>
  </si>
  <si>
    <t>2024-08-27</t>
  </si>
  <si>
    <t>2024-01-23</t>
  </si>
  <si>
    <t>2024-11-16</t>
  </si>
  <si>
    <t>2024-11-26</t>
  </si>
  <si>
    <t>2024-11-29</t>
  </si>
  <si>
    <t>2024-02-23</t>
  </si>
  <si>
    <t>2024-02-08</t>
  </si>
  <si>
    <t>2024-12-15</t>
  </si>
  <si>
    <t>2024-05-26</t>
  </si>
  <si>
    <t>2024-05-22</t>
  </si>
  <si>
    <t>2024-01-09</t>
  </si>
  <si>
    <t>2024-09-03</t>
  </si>
  <si>
    <t>2024-02-18</t>
  </si>
  <si>
    <t>2024-01-19</t>
  </si>
  <si>
    <t>2024-01-31</t>
  </si>
  <si>
    <t>2024-08-14</t>
  </si>
  <si>
    <t>2024-11-25</t>
  </si>
  <si>
    <t>2024-02-12</t>
  </si>
  <si>
    <t>2024-09-19</t>
  </si>
  <si>
    <t>2024-02-13</t>
  </si>
  <si>
    <t>2024-11-04</t>
  </si>
  <si>
    <t>2024-04-15</t>
  </si>
  <si>
    <t>2024-09-02</t>
  </si>
  <si>
    <t>2024-03-21</t>
  </si>
  <si>
    <t>2024-04-08</t>
  </si>
  <si>
    <t>2024-03-07</t>
  </si>
  <si>
    <t>2024-03-13</t>
  </si>
  <si>
    <t>2024-08-22</t>
  </si>
  <si>
    <t>2024-01-26</t>
  </si>
  <si>
    <t>2024-12-21</t>
  </si>
  <si>
    <t>2024-10-12</t>
  </si>
  <si>
    <t>2024-12-14</t>
  </si>
  <si>
    <t>2024-10-31</t>
  </si>
  <si>
    <t>2024-05-05</t>
  </si>
  <si>
    <t>2024-10-07</t>
  </si>
  <si>
    <t>2024-08-25</t>
  </si>
  <si>
    <t>2024-10-11</t>
  </si>
  <si>
    <t>2024-07-24</t>
  </si>
  <si>
    <t>2024-01-25</t>
  </si>
  <si>
    <t>2024-10-13</t>
  </si>
  <si>
    <t>2024-11-30</t>
  </si>
  <si>
    <t>2024-09-12</t>
  </si>
  <si>
    <t>2024-04-11</t>
  </si>
  <si>
    <t>2024-04-22</t>
  </si>
  <si>
    <t>2024-08-31</t>
  </si>
  <si>
    <t>2024-12-24</t>
  </si>
  <si>
    <t>2024-02-10</t>
  </si>
  <si>
    <t>2024-12-06</t>
  </si>
  <si>
    <t>2024-03-11</t>
  </si>
  <si>
    <t>2024-09-30</t>
  </si>
  <si>
    <t>2024-10-26</t>
  </si>
  <si>
    <t>2024-05-21</t>
  </si>
  <si>
    <t>2024-05-06</t>
  </si>
  <si>
    <t>2024-10-02</t>
  </si>
  <si>
    <t>2024-05-02</t>
  </si>
  <si>
    <t>2024-10-25</t>
  </si>
  <si>
    <t>2024-05-10</t>
  </si>
  <si>
    <t>2024-02-02</t>
  </si>
  <si>
    <t>2024-06-03</t>
  </si>
  <si>
    <t>2024-12-08</t>
  </si>
  <si>
    <t>2024-05-03</t>
  </si>
  <si>
    <t>2024-03-04</t>
  </si>
  <si>
    <t>2024-05-31</t>
  </si>
  <si>
    <t>2024-03-03</t>
  </si>
  <si>
    <t>2024-06-19</t>
  </si>
  <si>
    <t>2024-09-13</t>
  </si>
  <si>
    <t>2024-04-09</t>
  </si>
  <si>
    <t>2024-09-27</t>
  </si>
  <si>
    <t>2024-12-20</t>
  </si>
  <si>
    <t>2024-07-30</t>
  </si>
  <si>
    <t>2024-11-08</t>
  </si>
  <si>
    <t>2024-01-17</t>
  </si>
  <si>
    <t>2024-10-05</t>
  </si>
  <si>
    <t>2024-07-19</t>
  </si>
  <si>
    <t>2024-03-23</t>
  </si>
  <si>
    <t>2024-07-20</t>
  </si>
  <si>
    <t>2024-12-11</t>
  </si>
  <si>
    <t>2024-07-22</t>
  </si>
  <si>
    <t>2024-06-20</t>
  </si>
  <si>
    <t>2024-08-02</t>
  </si>
  <si>
    <t>2024-02-03</t>
  </si>
  <si>
    <t>2024-01-13</t>
  </si>
  <si>
    <t>2024-07-31</t>
  </si>
  <si>
    <t>2024-06-11</t>
  </si>
  <si>
    <t>2024-05-12</t>
  </si>
  <si>
    <t>2024-02-26</t>
  </si>
  <si>
    <t>2024-08-29</t>
  </si>
  <si>
    <t>2024-05-07</t>
  </si>
  <si>
    <t>2024-11-05</t>
  </si>
  <si>
    <t>2024-08-21</t>
  </si>
  <si>
    <t>2024-04-29</t>
  </si>
  <si>
    <t>2024-12-16</t>
  </si>
  <si>
    <t>2024-09-06</t>
  </si>
  <si>
    <t>2024-03-26</t>
  </si>
  <si>
    <t>2024-06-07</t>
  </si>
  <si>
    <t>2024-12-22</t>
  </si>
  <si>
    <t>2024-03-29</t>
  </si>
  <si>
    <t>2024-09-17</t>
  </si>
  <si>
    <t>2024-04-01</t>
  </si>
  <si>
    <t>2024-12-09</t>
  </si>
  <si>
    <t>2024-12-04</t>
  </si>
  <si>
    <t>2024-10-19</t>
  </si>
  <si>
    <t>2024-04-07</t>
  </si>
  <si>
    <t>2024-01-28</t>
  </si>
  <si>
    <t>2024-11-14</t>
  </si>
  <si>
    <t>2024-04-18</t>
  </si>
  <si>
    <t>2024-11-02</t>
  </si>
  <si>
    <t>2024-07-12</t>
  </si>
  <si>
    <t>2024-02-16</t>
  </si>
  <si>
    <t>2024-03-06</t>
  </si>
  <si>
    <t>2024-11-12</t>
  </si>
  <si>
    <t>2024-09-01</t>
  </si>
  <si>
    <t>2024-12-17</t>
  </si>
  <si>
    <t>2024-05-20</t>
  </si>
  <si>
    <t>2024-05-08</t>
  </si>
  <si>
    <t>2024-03-28</t>
  </si>
  <si>
    <t>2024-10-01</t>
  </si>
  <si>
    <t>TOTAL MARKET CAP</t>
  </si>
  <si>
    <t>TOTAL 24H VOLUME</t>
  </si>
  <si>
    <t>AVERAGE 24H CHANGE</t>
  </si>
  <si>
    <t>Row Labels</t>
  </si>
  <si>
    <t>Grand Total</t>
  </si>
  <si>
    <t>Sum of Market_Cap_USD</t>
  </si>
  <si>
    <t>Sum of Price_USD</t>
  </si>
  <si>
    <t>Sum of Volume_24h_USD</t>
  </si>
  <si>
    <t>(3)Price Trend Over Time</t>
  </si>
  <si>
    <t>(4)24h Trading Volume by Crptocurrency</t>
  </si>
  <si>
    <t>(5)Market Cap by Mining Type</t>
  </si>
  <si>
    <t>(6)Developer Activity by Cryptocurrency</t>
  </si>
  <si>
    <t>Sum of Developer_Activity</t>
  </si>
  <si>
    <t>Month</t>
  </si>
  <si>
    <t>Jan</t>
  </si>
  <si>
    <t>Feb</t>
  </si>
  <si>
    <t>Mar</t>
  </si>
  <si>
    <t>Apr</t>
  </si>
  <si>
    <t>May</t>
  </si>
  <si>
    <t>Jun</t>
  </si>
  <si>
    <t>Jul</t>
  </si>
  <si>
    <t>Aug</t>
  </si>
  <si>
    <t>Sep</t>
  </si>
  <si>
    <t>Oct</t>
  </si>
  <si>
    <t>Nov</t>
  </si>
  <si>
    <t>Dec</t>
  </si>
  <si>
    <t>CRYPTO MARKET ANALYSIS DASHBOARD</t>
  </si>
  <si>
    <t>(1)Market Cap by CryptoCurrency</t>
  </si>
  <si>
    <t>(2)Crypto Market Share by 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</si>
</sst>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quot;B&quot;"/>
  </numFmts>
  <fonts count="2" x14ac:knownFonts="1">
    <font>
      <sz val="11"/>
      <color theme="1"/>
      <name val="Calibri"/>
      <family val="2"/>
      <scheme val="minor"/>
    </font>
    <font>
      <sz val="28"/>
      <color theme="5" tint="-0.249977111117893"/>
      <name val="Calibri"/>
      <family val="2"/>
      <scheme val="minor"/>
    </font>
  </fonts>
  <fills count="6">
    <fill>
      <patternFill patternType="none"/>
    </fill>
    <fill>
      <patternFill patternType="gray125"/>
    </fill>
    <fill>
      <patternFill patternType="solid">
        <fgColor theme="3" tint="0.39997558519241921"/>
        <bgColor indexed="64"/>
      </patternFill>
    </fill>
    <fill>
      <patternFill patternType="solid">
        <fgColor theme="3" tint="0.79998168889431442"/>
        <bgColor indexed="64"/>
      </patternFill>
    </fill>
    <fill>
      <patternFill patternType="solid">
        <fgColor theme="5" tint="-0.249977111117893"/>
        <bgColor indexed="64"/>
      </patternFill>
    </fill>
    <fill>
      <patternFill patternType="solid">
        <fgColor theme="5" tint="0.39997558519241921"/>
        <bgColor indexed="64"/>
      </patternFill>
    </fill>
  </fills>
  <borders count="1">
    <border>
      <left/>
      <right/>
      <top/>
      <bottom/>
      <diagonal/>
    </border>
  </borders>
  <cellStyleXfs count="1">
    <xf numFmtId="0" fontId="0" fillId="0" borderId="0"/>
  </cellStyleXfs>
  <cellXfs count="14">
    <xf numFmtId="0" fontId="0" fillId="0" borderId="0" xfId="0"/>
    <xf numFmtId="0" fontId="0" fillId="0" borderId="0" xfId="0" pivotButton="1"/>
    <xf numFmtId="0" fontId="0" fillId="0" borderId="0" xfId="0" applyAlignment="1">
      <alignment horizontal="left"/>
    </xf>
    <xf numFmtId="0" fontId="0" fillId="2" borderId="0" xfId="0" applyFill="1"/>
    <xf numFmtId="0" fontId="1" fillId="3" borderId="0" xfId="0" applyFont="1" applyFill="1" applyAlignment="1">
      <alignment horizontal="center"/>
    </xf>
    <xf numFmtId="0" fontId="0" fillId="3" borderId="0" xfId="0" applyFill="1" applyAlignment="1">
      <alignment horizontal="center"/>
    </xf>
    <xf numFmtId="0" fontId="0" fillId="4" borderId="0" xfId="0" applyFill="1" applyAlignment="1">
      <alignment horizontal="center" vertical="center"/>
    </xf>
    <xf numFmtId="164" fontId="0" fillId="4" borderId="0" xfId="0" applyNumberFormat="1" applyFill="1" applyAlignment="1">
      <alignment horizontal="center" vertical="center"/>
    </xf>
    <xf numFmtId="0" fontId="0" fillId="5" borderId="0" xfId="0" applyFill="1" applyAlignment="1">
      <alignment horizontal="center"/>
    </xf>
    <xf numFmtId="164" fontId="0" fillId="5" borderId="0" xfId="0" applyNumberFormat="1" applyFill="1" applyAlignment="1">
      <alignment horizontal="center"/>
    </xf>
    <xf numFmtId="0" fontId="0" fillId="4" borderId="0" xfId="0" applyFill="1" applyAlignment="1">
      <alignment horizontal="center"/>
    </xf>
    <xf numFmtId="10" fontId="0" fillId="4" borderId="0" xfId="0" applyNumberFormat="1" applyFill="1" applyAlignment="1">
      <alignment horizontal="center"/>
    </xf>
    <xf numFmtId="0" fontId="0" fillId="0" borderId="0" xfId="0" applyAlignment="1">
      <alignment horizontal="center"/>
    </xf>
    <xf numFmtId="0" fontId="0" fillId="0" borderId="0" xfId="0" applyNumberFormat="1"/>
  </cellXfs>
  <cellStyles count="1">
    <cellStyle name="Normal" xfId="0" builtinId="0"/>
  </cellStyles>
  <dxfs count="1">
    <dxf>
      <numFmt numFmtId="0" formatCode="Genera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07/relationships/slicerCache" Target="slicerCaches/slicerCache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[cryptocurrencymarket.xlsx]Tables!PivotTable1</c:name>
    <c:fmtId val="28"/>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Market</a:t>
            </a:r>
            <a:r>
              <a:rPr lang="en-US" baseline="0"/>
              <a:t>cap by cryptocurrency</a:t>
            </a:r>
            <a:endParaRPr lang="en-US"/>
          </a:p>
        </c:rich>
      </c:tx>
      <c:layout>
        <c:manualLayout>
          <c:xMode val="edge"/>
          <c:yMode val="edge"/>
          <c:x val="0.17138888888888892"/>
          <c:y val="0.13786818314377369"/>
        </c:manualLayout>
      </c:layout>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solidFill>
            <a:schemeClr val="bg1">
              <a:lumMod val="95000"/>
            </a:schemeClr>
          </a:solidFill>
          <a:ln>
            <a:noFill/>
          </a:ln>
          <a:effectLst/>
        </c:spPr>
        <c:marker>
          <c:spPr>
            <a:solidFill>
              <a:schemeClr val="accent1"/>
            </a:solidFill>
            <a:ln w="22225">
              <a:solidFill>
                <a:schemeClr val="lt1"/>
              </a:solidFill>
              <a:round/>
            </a:ln>
            <a:effectLst/>
          </c:spPr>
        </c:marker>
        <c:dLbl>
          <c:idx val="0"/>
          <c:spPr>
            <a:solidFill>
              <a:srgbClr val="4F81BD">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bg1">
              <a:lumMod val="95000"/>
            </a:schemeClr>
          </a:solidFill>
          <a:ln>
            <a:noFill/>
          </a:ln>
          <a:effectLst/>
        </c:spPr>
        <c:dLbl>
          <c:idx val="0"/>
          <c:spPr>
            <a:solidFill>
              <a:srgbClr val="4F81BD">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bg1">
              <a:lumMod val="95000"/>
            </a:schemeClr>
          </a:solidFill>
          <a:ln>
            <a:noFill/>
          </a:ln>
          <a:effectLst/>
        </c:spPr>
        <c:marker>
          <c:symbol val="none"/>
        </c:marker>
        <c:dLbl>
          <c:idx val="0"/>
          <c:spPr>
            <a:solidFill>
              <a:srgbClr val="4F81BD">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Tables!$B$3</c:f>
              <c:strCache>
                <c:ptCount val="1"/>
                <c:pt idx="0">
                  <c:v>Total</c:v>
                </c:pt>
              </c:strCache>
            </c:strRef>
          </c:tx>
          <c:spPr>
            <a:solidFill>
              <a:schemeClr val="bg1">
                <a:lumMod val="95000"/>
              </a:schemeClr>
            </a:solidFill>
            <a:ln>
              <a:noFill/>
            </a:ln>
            <a:effectLst/>
          </c:spPr>
          <c:invertIfNegative val="0"/>
          <c:dLbls>
            <c:spPr>
              <a:solidFill>
                <a:srgbClr val="4F81BD">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Tables!$A$4:$A$14</c:f>
              <c:strCache>
                <c:ptCount val="10"/>
                <c:pt idx="0">
                  <c:v>Avalanche</c:v>
                </c:pt>
                <c:pt idx="1">
                  <c:v>Ripple</c:v>
                </c:pt>
                <c:pt idx="2">
                  <c:v>Cardano</c:v>
                </c:pt>
                <c:pt idx="3">
                  <c:v>Litecoin</c:v>
                </c:pt>
                <c:pt idx="4">
                  <c:v>Binance Coin</c:v>
                </c:pt>
                <c:pt idx="5">
                  <c:v>Dogecoin</c:v>
                </c:pt>
                <c:pt idx="6">
                  <c:v>Solana</c:v>
                </c:pt>
                <c:pt idx="7">
                  <c:v>Polkadot</c:v>
                </c:pt>
                <c:pt idx="8">
                  <c:v>Ethereum</c:v>
                </c:pt>
                <c:pt idx="9">
                  <c:v>Bitcoin</c:v>
                </c:pt>
              </c:strCache>
            </c:strRef>
          </c:cat>
          <c:val>
            <c:numRef>
              <c:f>Tables!$B$4:$B$14</c:f>
              <c:numCache>
                <c:formatCode>General</c:formatCode>
                <c:ptCount val="10"/>
                <c:pt idx="0">
                  <c:v>53630745281090.047</c:v>
                </c:pt>
                <c:pt idx="1">
                  <c:v>49635047518652.781</c:v>
                </c:pt>
                <c:pt idx="2">
                  <c:v>47736232011028.242</c:v>
                </c:pt>
                <c:pt idx="3">
                  <c:v>46777055414121.539</c:v>
                </c:pt>
                <c:pt idx="4">
                  <c:v>44197551462040.648</c:v>
                </c:pt>
                <c:pt idx="5">
                  <c:v>42618723030246.406</c:v>
                </c:pt>
                <c:pt idx="6">
                  <c:v>42282393799721.398</c:v>
                </c:pt>
                <c:pt idx="7">
                  <c:v>40768507094902.086</c:v>
                </c:pt>
                <c:pt idx="8">
                  <c:v>38584925947531.695</c:v>
                </c:pt>
                <c:pt idx="9">
                  <c:v>38040407248837.461</c:v>
                </c:pt>
              </c:numCache>
            </c:numRef>
          </c:val>
          <c:extLst>
            <c:ext xmlns:c16="http://schemas.microsoft.com/office/drawing/2014/chart" uri="{C3380CC4-5D6E-409C-BE32-E72D297353CC}">
              <c16:uniqueId val="{00000000-EE0F-45FA-B1A6-D1F645CF9570}"/>
            </c:ext>
          </c:extLst>
        </c:ser>
        <c:dLbls>
          <c:dLblPos val="outEnd"/>
          <c:showLegendKey val="0"/>
          <c:showVal val="1"/>
          <c:showCatName val="0"/>
          <c:showSerName val="0"/>
          <c:showPercent val="0"/>
          <c:showBubbleSize val="0"/>
        </c:dLbls>
        <c:gapWidth val="154"/>
        <c:axId val="612035672"/>
        <c:axId val="612034592"/>
      </c:barChart>
      <c:catAx>
        <c:axId val="612035672"/>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cap="all" spc="150" normalizeH="0" baseline="0">
                <a:solidFill>
                  <a:schemeClr val="lt1"/>
                </a:solidFill>
                <a:latin typeface="+mn-lt"/>
                <a:ea typeface="+mn-ea"/>
                <a:cs typeface="+mn-cs"/>
              </a:defRPr>
            </a:pPr>
            <a:endParaRPr lang="en-US"/>
          </a:p>
        </c:txPr>
        <c:crossAx val="612034592"/>
        <c:crosses val="autoZero"/>
        <c:auto val="1"/>
        <c:lblAlgn val="ctr"/>
        <c:lblOffset val="100"/>
        <c:noMultiLvlLbl val="0"/>
      </c:catAx>
      <c:valAx>
        <c:axId val="612034592"/>
        <c:scaling>
          <c:orientation val="minMax"/>
        </c:scaling>
        <c:delete val="0"/>
        <c:axPos val="b"/>
        <c:majorGridlines>
          <c:spPr>
            <a:ln w="9525" cap="flat" cmpd="sng" algn="ctr">
              <a:solidFill>
                <a:schemeClr val="lt1">
                  <a:lumMod val="60000"/>
                  <a:lumOff val="40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6120356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02060"/>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[cryptocurrencymarket.xlsx]Tables!PivotTable2</c:name>
    <c:fmtId val="9"/>
  </c:pivotSource>
  <c:chart>
    <c:title>
      <c:tx>
        <c:rich>
          <a:bodyPr rot="0" spcFirstLastPara="1" vertOverflow="ellipsis" vert="horz" wrap="square" anchor="ctr" anchorCtr="1"/>
          <a:lstStyle/>
          <a:p>
            <a:pPr>
              <a:defRPr sz="1800" b="1" i="0" u="none" strike="noStrike" kern="1200" cap="all" baseline="0">
                <a:solidFill>
                  <a:schemeClr val="dk1"/>
                </a:solidFill>
                <a:latin typeface="+mn-lt"/>
                <a:ea typeface="+mn-ea"/>
                <a:cs typeface="+mn-cs"/>
              </a:defRPr>
            </a:pPr>
            <a:r>
              <a:rPr lang="en-US">
                <a:solidFill>
                  <a:schemeClr val="dk1"/>
                </a:solidFill>
                <a:latin typeface="+mn-lt"/>
                <a:ea typeface="+mn-ea"/>
                <a:cs typeface="+mn-cs"/>
              </a:rPr>
              <a:t>Crypto</a:t>
            </a:r>
            <a:r>
              <a:rPr lang="en-US" baseline="0">
                <a:solidFill>
                  <a:schemeClr val="dk1"/>
                </a:solidFill>
                <a:latin typeface="+mn-lt"/>
                <a:ea typeface="+mn-ea"/>
                <a:cs typeface="+mn-cs"/>
              </a:rPr>
              <a:t>marketshare by category</a:t>
            </a:r>
            <a:endParaRPr lang="en-US"/>
          </a:p>
        </c:rich>
      </c:tx>
      <c:overlay val="0"/>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9525" cap="flat" cmpd="sng" algn="ctr">
          <a:solidFill>
            <a:schemeClr val="accent2">
              <a:shade val="95000"/>
              <a:satMod val="105000"/>
            </a:schemeClr>
          </a:solidFill>
          <a:prstDash val="solid"/>
        </a:ln>
        <a:effectLst>
          <a:outerShdw blurRad="40000" dist="20000" dir="5400000" rotWithShape="0">
            <a:srgbClr val="000000">
              <a:alpha val="38000"/>
            </a:srgbClr>
          </a:outerShdw>
        </a:effectLst>
      </c:spPr>
      <c:txPr>
        <a:bodyPr rot="0" spcFirstLastPara="1" vertOverflow="ellipsis" vert="horz" wrap="square" anchor="ctr" anchorCtr="1"/>
        <a:lstStyle/>
        <a:p>
          <a:pPr>
            <a:defRPr sz="1800" b="1" i="0" u="none" strike="noStrike" kern="1200" cap="all" baseline="0">
              <a:solidFill>
                <a:schemeClr val="dk1"/>
              </a:solidFill>
              <a:latin typeface="+mn-lt"/>
              <a:ea typeface="+mn-ea"/>
              <a:cs typeface="+mn-cs"/>
            </a:defRPr>
          </a:pPr>
          <a:endParaRPr lang="en-US"/>
        </a:p>
      </c:txPr>
    </c:title>
    <c:autoTitleDeleted val="0"/>
    <c:pivotFmts>
      <c:pivotFmt>
        <c:idx val="0"/>
        <c:spPr>
          <a:solidFill>
            <a:schemeClr val="accent2">
              <a:alpha val="90000"/>
            </a:schemeClr>
          </a:solidFill>
          <a:ln w="19050">
            <a:solidFill>
              <a:schemeClr val="accent2">
                <a:lumMod val="75000"/>
              </a:schemeClr>
            </a:solidFill>
          </a:ln>
          <a:effectLst>
            <a:innerShdw blurRad="114300">
              <a:schemeClr val="accent2">
                <a:lumMod val="75000"/>
              </a:schemeClr>
            </a:innerShdw>
          </a:effectLst>
          <a:scene3d>
            <a:camera prst="orthographicFront"/>
            <a:lightRig rig="threePt" dir="t"/>
          </a:scene3d>
          <a:sp3d contourW="19050" prstMaterial="flat">
            <a:contourClr>
              <a:schemeClr val="accent2">
                <a:lumMod val="75000"/>
              </a:schemeClr>
            </a:contourClr>
          </a:sp3d>
        </c:spPr>
        <c:marker>
          <c:symbol val="circle"/>
          <c:size val="6"/>
        </c:marker>
        <c:dLbl>
          <c:idx val="0"/>
          <c:spPr>
            <a:solidFill>
              <a:schemeClr val="lt1">
                <a:alpha val="90000"/>
              </a:schemeClr>
            </a:solidFill>
            <a:ln w="12700" cap="flat" cmpd="sng" algn="ctr">
              <a:solidFill>
                <a:schemeClr val="accent2"/>
              </a:solidFill>
              <a:round/>
            </a:ln>
            <a:effectLst>
              <a:outerShdw blurRad="50800" dist="38100" dir="2700000" algn="tl" rotWithShape="0">
                <a:schemeClr val="accent2">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2"/>
                  </a:solidFill>
                  <a:effectLst/>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2">
              <a:shade val="53000"/>
              <a:alpha val="90000"/>
            </a:schemeClr>
          </a:solidFill>
          <a:ln w="19050">
            <a:solidFill>
              <a:schemeClr val="accent2">
                <a:shade val="53000"/>
                <a:lumMod val="75000"/>
              </a:schemeClr>
            </a:solidFill>
          </a:ln>
          <a:effectLst>
            <a:innerShdw blurRad="114300">
              <a:schemeClr val="accent2">
                <a:shade val="53000"/>
                <a:lumMod val="75000"/>
              </a:schemeClr>
            </a:innerShdw>
          </a:effectLst>
          <a:scene3d>
            <a:camera prst="orthographicFront"/>
            <a:lightRig rig="threePt" dir="t"/>
          </a:scene3d>
          <a:sp3d contourW="19050" prstMaterial="flat">
            <a:contourClr>
              <a:schemeClr val="accent2">
                <a:shade val="53000"/>
                <a:lumMod val="75000"/>
              </a:schemeClr>
            </a:contourClr>
          </a:sp3d>
        </c:spPr>
        <c:dLbl>
          <c:idx val="0"/>
          <c:spPr>
            <a:solidFill>
              <a:schemeClr val="lt1">
                <a:alpha val="90000"/>
              </a:schemeClr>
            </a:solidFill>
            <a:ln w="12700" cap="flat" cmpd="sng" algn="ctr">
              <a:solidFill>
                <a:schemeClr val="accent2"/>
              </a:solidFill>
              <a:round/>
            </a:ln>
            <a:effectLst>
              <a:outerShdw blurRad="50800" dist="38100" dir="2700000" algn="tl" rotWithShape="0">
                <a:schemeClr val="accent2">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2"/>
                  </a:solidFill>
                  <a:effectLst/>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2"/>
        <c:spPr>
          <a:solidFill>
            <a:schemeClr val="accent2">
              <a:shade val="76000"/>
              <a:alpha val="90000"/>
            </a:schemeClr>
          </a:solidFill>
          <a:ln w="19050">
            <a:solidFill>
              <a:schemeClr val="accent2">
                <a:shade val="76000"/>
                <a:lumMod val="75000"/>
              </a:schemeClr>
            </a:solidFill>
          </a:ln>
          <a:effectLst>
            <a:innerShdw blurRad="114300">
              <a:schemeClr val="accent2">
                <a:shade val="76000"/>
                <a:lumMod val="75000"/>
              </a:schemeClr>
            </a:innerShdw>
          </a:effectLst>
          <a:scene3d>
            <a:camera prst="orthographicFront"/>
            <a:lightRig rig="threePt" dir="t"/>
          </a:scene3d>
          <a:sp3d contourW="19050" prstMaterial="flat">
            <a:contourClr>
              <a:schemeClr val="accent2">
                <a:shade val="76000"/>
                <a:lumMod val="75000"/>
              </a:schemeClr>
            </a:contourClr>
          </a:sp3d>
        </c:spPr>
        <c:dLbl>
          <c:idx val="0"/>
          <c:spPr>
            <a:solidFill>
              <a:schemeClr val="lt1">
                <a:alpha val="90000"/>
              </a:schemeClr>
            </a:solidFill>
            <a:ln w="12700" cap="flat" cmpd="sng" algn="ctr">
              <a:solidFill>
                <a:schemeClr val="accent2"/>
              </a:solidFill>
              <a:round/>
            </a:ln>
            <a:effectLst>
              <a:outerShdw blurRad="50800" dist="38100" dir="2700000" algn="tl" rotWithShape="0">
                <a:schemeClr val="accent2">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2"/>
                  </a:solidFill>
                  <a:effectLst/>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3"/>
        <c:spPr>
          <a:solidFill>
            <a:schemeClr val="accent2">
              <a:alpha val="90000"/>
            </a:schemeClr>
          </a:solidFill>
          <a:ln w="19050">
            <a:solidFill>
              <a:schemeClr val="accent2">
                <a:lumMod val="75000"/>
              </a:schemeClr>
            </a:solidFill>
          </a:ln>
          <a:effectLst>
            <a:innerShdw blurRad="114300">
              <a:schemeClr val="accent2">
                <a:lumMod val="75000"/>
              </a:schemeClr>
            </a:innerShdw>
          </a:effectLst>
          <a:scene3d>
            <a:camera prst="orthographicFront"/>
            <a:lightRig rig="threePt" dir="t"/>
          </a:scene3d>
          <a:sp3d contourW="19050" prstMaterial="flat">
            <a:contourClr>
              <a:schemeClr val="accent2">
                <a:lumMod val="75000"/>
              </a:schemeClr>
            </a:contourClr>
          </a:sp3d>
        </c:spPr>
        <c:dLbl>
          <c:idx val="0"/>
          <c:spPr>
            <a:solidFill>
              <a:schemeClr val="lt1">
                <a:alpha val="90000"/>
              </a:schemeClr>
            </a:solidFill>
            <a:ln w="12700" cap="flat" cmpd="sng" algn="ctr">
              <a:solidFill>
                <a:schemeClr val="accent2"/>
              </a:solidFill>
              <a:round/>
            </a:ln>
            <a:effectLst>
              <a:outerShdw blurRad="50800" dist="38100" dir="2700000" algn="tl" rotWithShape="0">
                <a:schemeClr val="accent2">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2"/>
                  </a:solidFill>
                  <a:effectLst/>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4"/>
        <c:spPr>
          <a:solidFill>
            <a:schemeClr val="accent2">
              <a:tint val="77000"/>
              <a:alpha val="90000"/>
            </a:schemeClr>
          </a:solidFill>
          <a:ln w="19050">
            <a:solidFill>
              <a:schemeClr val="accent2">
                <a:tint val="77000"/>
                <a:lumMod val="75000"/>
              </a:schemeClr>
            </a:solidFill>
          </a:ln>
          <a:effectLst>
            <a:innerShdw blurRad="114300">
              <a:schemeClr val="accent2">
                <a:tint val="77000"/>
                <a:lumMod val="75000"/>
              </a:schemeClr>
            </a:innerShdw>
          </a:effectLst>
          <a:scene3d>
            <a:camera prst="orthographicFront"/>
            <a:lightRig rig="threePt" dir="t"/>
          </a:scene3d>
          <a:sp3d contourW="19050" prstMaterial="flat">
            <a:contourClr>
              <a:schemeClr val="accent2">
                <a:tint val="77000"/>
                <a:lumMod val="75000"/>
              </a:schemeClr>
            </a:contourClr>
          </a:sp3d>
        </c:spPr>
        <c:dLbl>
          <c:idx val="0"/>
          <c:spPr>
            <a:solidFill>
              <a:schemeClr val="lt1">
                <a:alpha val="90000"/>
              </a:schemeClr>
            </a:solidFill>
            <a:ln w="12700" cap="flat" cmpd="sng" algn="ctr">
              <a:solidFill>
                <a:schemeClr val="accent2"/>
              </a:solidFill>
              <a:round/>
            </a:ln>
            <a:effectLst>
              <a:outerShdw blurRad="50800" dist="38100" dir="2700000" algn="tl" rotWithShape="0">
                <a:schemeClr val="accent2">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2"/>
                  </a:solidFill>
                  <a:effectLst/>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5"/>
        <c:spPr>
          <a:solidFill>
            <a:schemeClr val="accent2">
              <a:tint val="54000"/>
              <a:alpha val="90000"/>
            </a:schemeClr>
          </a:solidFill>
          <a:ln w="19050">
            <a:solidFill>
              <a:schemeClr val="accent2">
                <a:tint val="54000"/>
                <a:lumMod val="75000"/>
              </a:schemeClr>
            </a:solidFill>
          </a:ln>
          <a:effectLst>
            <a:innerShdw blurRad="114300">
              <a:schemeClr val="accent2">
                <a:tint val="54000"/>
                <a:lumMod val="75000"/>
              </a:schemeClr>
            </a:innerShdw>
          </a:effectLst>
          <a:scene3d>
            <a:camera prst="orthographicFront"/>
            <a:lightRig rig="threePt" dir="t"/>
          </a:scene3d>
          <a:sp3d contourW="19050" prstMaterial="flat">
            <a:contourClr>
              <a:schemeClr val="accent2">
                <a:tint val="54000"/>
                <a:lumMod val="75000"/>
              </a:schemeClr>
            </a:contourClr>
          </a:sp3d>
        </c:spPr>
        <c:dLbl>
          <c:idx val="0"/>
          <c:spPr>
            <a:solidFill>
              <a:schemeClr val="lt1">
                <a:alpha val="90000"/>
              </a:schemeClr>
            </a:solidFill>
            <a:ln w="12700" cap="flat" cmpd="sng" algn="ctr">
              <a:solidFill>
                <a:schemeClr val="accent2"/>
              </a:solidFill>
              <a:round/>
            </a:ln>
            <a:effectLst>
              <a:outerShdw blurRad="50800" dist="38100" dir="2700000" algn="tl" rotWithShape="0">
                <a:schemeClr val="accent2">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2"/>
                  </a:solidFill>
                  <a:effectLst/>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6"/>
        <c:spPr>
          <a:solidFill>
            <a:schemeClr val="accent2">
              <a:alpha val="90000"/>
            </a:schemeClr>
          </a:solidFill>
          <a:ln w="19050">
            <a:solidFill>
              <a:schemeClr val="accent2">
                <a:lumMod val="75000"/>
              </a:schemeClr>
            </a:solidFill>
          </a:ln>
          <a:effectLst>
            <a:innerShdw blurRad="114300">
              <a:schemeClr val="accent2">
                <a:lumMod val="75000"/>
              </a:schemeClr>
            </a:innerShdw>
          </a:effectLst>
          <a:scene3d>
            <a:camera prst="orthographicFront"/>
            <a:lightRig rig="threePt" dir="t"/>
          </a:scene3d>
          <a:sp3d contourW="19050" prstMaterial="flat">
            <a:contourClr>
              <a:schemeClr val="accent2">
                <a:lumMod val="75000"/>
              </a:schemeClr>
            </a:contourClr>
          </a:sp3d>
        </c:spPr>
        <c:marker>
          <c:symbol val="none"/>
        </c:marker>
        <c:dLbl>
          <c:idx val="0"/>
          <c:spPr>
            <a:solidFill>
              <a:schemeClr val="lt1">
                <a:alpha val="90000"/>
              </a:schemeClr>
            </a:solidFill>
            <a:ln w="12700" cap="flat" cmpd="sng" algn="ctr">
              <a:solidFill>
                <a:schemeClr val="accent2"/>
              </a:solidFill>
              <a:round/>
            </a:ln>
            <a:effectLst>
              <a:outerShdw blurRad="50800" dist="38100" dir="2700000" algn="tl" rotWithShape="0">
                <a:schemeClr val="accent2">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2"/>
                  </a:solidFill>
                  <a:effectLst/>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2">
              <a:shade val="53000"/>
              <a:alpha val="90000"/>
            </a:schemeClr>
          </a:solidFill>
          <a:ln w="19050">
            <a:solidFill>
              <a:schemeClr val="accent2">
                <a:shade val="53000"/>
                <a:lumMod val="75000"/>
              </a:schemeClr>
            </a:solidFill>
          </a:ln>
          <a:effectLst>
            <a:innerShdw blurRad="114300">
              <a:schemeClr val="accent2">
                <a:shade val="53000"/>
                <a:lumMod val="75000"/>
              </a:schemeClr>
            </a:innerShdw>
          </a:effectLst>
          <a:scene3d>
            <a:camera prst="orthographicFront"/>
            <a:lightRig rig="threePt" dir="t"/>
          </a:scene3d>
          <a:sp3d contourW="19050" prstMaterial="flat">
            <a:contourClr>
              <a:schemeClr val="accent2">
                <a:shade val="53000"/>
                <a:lumMod val="75000"/>
              </a:schemeClr>
            </a:contourClr>
          </a:sp3d>
        </c:spPr>
        <c:dLbl>
          <c:idx val="0"/>
          <c:spPr>
            <a:solidFill>
              <a:schemeClr val="lt1">
                <a:alpha val="90000"/>
              </a:schemeClr>
            </a:solidFill>
            <a:ln w="12700" cap="flat" cmpd="sng" algn="ctr">
              <a:solidFill>
                <a:schemeClr val="accent2">
                  <a:shade val="53000"/>
                </a:schemeClr>
              </a:solidFill>
              <a:round/>
            </a:ln>
            <a:effectLst>
              <a:outerShdw blurRad="50800" dist="38100" dir="2700000" algn="tl" rotWithShape="0">
                <a:schemeClr val="accent2">
                  <a:shade val="53000"/>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2">
                      <a:shade val="53000"/>
                    </a:schemeClr>
                  </a:solidFill>
                  <a:effectLst/>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accent2">
              <a:shade val="76000"/>
              <a:alpha val="90000"/>
            </a:schemeClr>
          </a:solidFill>
          <a:ln w="19050">
            <a:solidFill>
              <a:schemeClr val="accent2">
                <a:shade val="76000"/>
                <a:lumMod val="75000"/>
              </a:schemeClr>
            </a:solidFill>
          </a:ln>
          <a:effectLst>
            <a:innerShdw blurRad="114300">
              <a:schemeClr val="accent2">
                <a:shade val="76000"/>
                <a:lumMod val="75000"/>
              </a:schemeClr>
            </a:innerShdw>
          </a:effectLst>
          <a:scene3d>
            <a:camera prst="orthographicFront"/>
            <a:lightRig rig="threePt" dir="t"/>
          </a:scene3d>
          <a:sp3d contourW="19050" prstMaterial="flat">
            <a:contourClr>
              <a:schemeClr val="accent2">
                <a:shade val="76000"/>
                <a:lumMod val="75000"/>
              </a:schemeClr>
            </a:contourClr>
          </a:sp3d>
        </c:spPr>
        <c:dLbl>
          <c:idx val="0"/>
          <c:spPr>
            <a:solidFill>
              <a:schemeClr val="lt1">
                <a:alpha val="90000"/>
              </a:schemeClr>
            </a:solidFill>
            <a:ln w="12700" cap="flat" cmpd="sng" algn="ctr">
              <a:solidFill>
                <a:schemeClr val="accent2">
                  <a:shade val="76000"/>
                </a:schemeClr>
              </a:solidFill>
              <a:round/>
            </a:ln>
            <a:effectLst>
              <a:outerShdw blurRad="50800" dist="38100" dir="2700000" algn="tl" rotWithShape="0">
                <a:schemeClr val="accent2">
                  <a:shade val="76000"/>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2">
                      <a:shade val="76000"/>
                    </a:schemeClr>
                  </a:solidFill>
                  <a:effectLst/>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9"/>
        <c:spPr>
          <a:solidFill>
            <a:schemeClr val="accent2">
              <a:alpha val="90000"/>
            </a:schemeClr>
          </a:solidFill>
          <a:ln w="19050">
            <a:solidFill>
              <a:schemeClr val="accent2">
                <a:lumMod val="75000"/>
              </a:schemeClr>
            </a:solidFill>
          </a:ln>
          <a:effectLst>
            <a:innerShdw blurRad="114300">
              <a:schemeClr val="accent2">
                <a:lumMod val="75000"/>
              </a:schemeClr>
            </a:innerShdw>
          </a:effectLst>
          <a:scene3d>
            <a:camera prst="orthographicFront"/>
            <a:lightRig rig="threePt" dir="t"/>
          </a:scene3d>
          <a:sp3d contourW="19050" prstMaterial="flat">
            <a:contourClr>
              <a:schemeClr val="accent2">
                <a:lumMod val="75000"/>
              </a:schemeClr>
            </a:contourClr>
          </a:sp3d>
        </c:spPr>
        <c:dLbl>
          <c:idx val="0"/>
          <c:spPr>
            <a:solidFill>
              <a:schemeClr val="lt1">
                <a:alpha val="90000"/>
              </a:schemeClr>
            </a:solidFill>
            <a:ln w="12700" cap="flat" cmpd="sng" algn="ctr">
              <a:solidFill>
                <a:schemeClr val="accent2"/>
              </a:solidFill>
              <a:round/>
            </a:ln>
            <a:effectLst>
              <a:outerShdw blurRad="50800" dist="38100" dir="2700000" algn="tl" rotWithShape="0">
                <a:schemeClr val="accent2">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2"/>
                  </a:solidFill>
                  <a:effectLst/>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0"/>
        <c:spPr>
          <a:solidFill>
            <a:schemeClr val="accent2">
              <a:tint val="77000"/>
              <a:alpha val="90000"/>
            </a:schemeClr>
          </a:solidFill>
          <a:ln w="19050">
            <a:solidFill>
              <a:schemeClr val="accent2">
                <a:tint val="77000"/>
                <a:lumMod val="75000"/>
              </a:schemeClr>
            </a:solidFill>
          </a:ln>
          <a:effectLst>
            <a:innerShdw blurRad="114300">
              <a:schemeClr val="accent2">
                <a:tint val="77000"/>
                <a:lumMod val="75000"/>
              </a:schemeClr>
            </a:innerShdw>
          </a:effectLst>
          <a:scene3d>
            <a:camera prst="orthographicFront"/>
            <a:lightRig rig="threePt" dir="t"/>
          </a:scene3d>
          <a:sp3d contourW="19050" prstMaterial="flat">
            <a:contourClr>
              <a:schemeClr val="accent2">
                <a:tint val="77000"/>
                <a:lumMod val="75000"/>
              </a:schemeClr>
            </a:contourClr>
          </a:sp3d>
        </c:spPr>
        <c:dLbl>
          <c:idx val="0"/>
          <c:spPr>
            <a:solidFill>
              <a:schemeClr val="lt1">
                <a:alpha val="90000"/>
              </a:schemeClr>
            </a:solidFill>
            <a:ln w="12700" cap="flat" cmpd="sng" algn="ctr">
              <a:solidFill>
                <a:schemeClr val="accent2">
                  <a:tint val="77000"/>
                </a:schemeClr>
              </a:solidFill>
              <a:round/>
            </a:ln>
            <a:effectLst>
              <a:outerShdw blurRad="50800" dist="38100" dir="2700000" algn="tl" rotWithShape="0">
                <a:schemeClr val="accent2">
                  <a:tint val="77000"/>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2">
                      <a:tint val="77000"/>
                    </a:schemeClr>
                  </a:solidFill>
                  <a:effectLst/>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1"/>
        <c:spPr>
          <a:solidFill>
            <a:schemeClr val="accent2">
              <a:tint val="54000"/>
              <a:alpha val="90000"/>
            </a:schemeClr>
          </a:solidFill>
          <a:ln w="19050">
            <a:solidFill>
              <a:schemeClr val="accent2">
                <a:tint val="54000"/>
                <a:lumMod val="75000"/>
              </a:schemeClr>
            </a:solidFill>
          </a:ln>
          <a:effectLst>
            <a:innerShdw blurRad="114300">
              <a:schemeClr val="accent2">
                <a:tint val="54000"/>
                <a:lumMod val="75000"/>
              </a:schemeClr>
            </a:innerShdw>
          </a:effectLst>
          <a:scene3d>
            <a:camera prst="orthographicFront"/>
            <a:lightRig rig="threePt" dir="t"/>
          </a:scene3d>
          <a:sp3d contourW="19050" prstMaterial="flat">
            <a:contourClr>
              <a:schemeClr val="accent2">
                <a:tint val="54000"/>
                <a:lumMod val="75000"/>
              </a:schemeClr>
            </a:contourClr>
          </a:sp3d>
        </c:spPr>
        <c:dLbl>
          <c:idx val="0"/>
          <c:spPr>
            <a:solidFill>
              <a:schemeClr val="lt1">
                <a:alpha val="90000"/>
              </a:schemeClr>
            </a:solidFill>
            <a:ln w="12700" cap="flat" cmpd="sng" algn="ctr">
              <a:solidFill>
                <a:schemeClr val="accent2">
                  <a:tint val="54000"/>
                </a:schemeClr>
              </a:solidFill>
              <a:round/>
            </a:ln>
            <a:effectLst>
              <a:outerShdw blurRad="50800" dist="38100" dir="2700000" algn="tl" rotWithShape="0">
                <a:schemeClr val="accent2">
                  <a:tint val="54000"/>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2">
                      <a:tint val="54000"/>
                    </a:schemeClr>
                  </a:solidFill>
                  <a:effectLst/>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2"/>
        <c:spPr>
          <a:solidFill>
            <a:schemeClr val="accent2">
              <a:alpha val="90000"/>
            </a:schemeClr>
          </a:solidFill>
          <a:ln w="19050">
            <a:solidFill>
              <a:schemeClr val="accent2">
                <a:lumMod val="75000"/>
              </a:schemeClr>
            </a:solidFill>
          </a:ln>
          <a:effectLst>
            <a:innerShdw blurRad="114300">
              <a:schemeClr val="accent2">
                <a:lumMod val="75000"/>
              </a:schemeClr>
            </a:innerShdw>
          </a:effectLst>
          <a:scene3d>
            <a:camera prst="orthographicFront"/>
            <a:lightRig rig="threePt" dir="t"/>
          </a:scene3d>
          <a:sp3d contourW="19050" prstMaterial="flat">
            <a:contourClr>
              <a:schemeClr val="accent2">
                <a:lumMod val="75000"/>
              </a:schemeClr>
            </a:contourClr>
          </a:sp3d>
        </c:spPr>
        <c:marker>
          <c:symbol val="none"/>
        </c:marker>
        <c:dLbl>
          <c:idx val="0"/>
          <c:spPr>
            <a:solidFill>
              <a:schemeClr val="lt1">
                <a:alpha val="90000"/>
              </a:schemeClr>
            </a:solidFill>
            <a:ln w="12700" cap="flat" cmpd="sng" algn="ctr">
              <a:solidFill>
                <a:schemeClr val="accent2"/>
              </a:solidFill>
              <a:round/>
            </a:ln>
            <a:effectLst>
              <a:outerShdw blurRad="50800" dist="38100" dir="2700000" algn="tl" rotWithShape="0">
                <a:schemeClr val="accent2">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2"/>
                  </a:solidFill>
                  <a:effectLst/>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3"/>
        <c:spPr>
          <a:solidFill>
            <a:schemeClr val="accent2">
              <a:shade val="53000"/>
              <a:alpha val="90000"/>
            </a:schemeClr>
          </a:solidFill>
          <a:ln w="19050">
            <a:solidFill>
              <a:schemeClr val="accent2">
                <a:shade val="53000"/>
                <a:lumMod val="75000"/>
              </a:schemeClr>
            </a:solidFill>
          </a:ln>
          <a:effectLst>
            <a:innerShdw blurRad="114300">
              <a:schemeClr val="accent2">
                <a:shade val="53000"/>
                <a:lumMod val="75000"/>
              </a:schemeClr>
            </a:innerShdw>
          </a:effectLst>
          <a:scene3d>
            <a:camera prst="orthographicFront"/>
            <a:lightRig rig="threePt" dir="t"/>
          </a:scene3d>
          <a:sp3d contourW="19050" prstMaterial="flat">
            <a:contourClr>
              <a:schemeClr val="accent2">
                <a:shade val="53000"/>
                <a:lumMod val="75000"/>
              </a:schemeClr>
            </a:contourClr>
          </a:sp3d>
        </c:spPr>
        <c:dLbl>
          <c:idx val="0"/>
          <c:spPr>
            <a:solidFill>
              <a:schemeClr val="lt1">
                <a:alpha val="90000"/>
              </a:schemeClr>
            </a:solidFill>
            <a:ln w="12700" cap="flat" cmpd="sng" algn="ctr">
              <a:solidFill>
                <a:schemeClr val="accent2">
                  <a:shade val="53000"/>
                </a:schemeClr>
              </a:solidFill>
              <a:round/>
            </a:ln>
            <a:effectLst>
              <a:outerShdw blurRad="50800" dist="38100" dir="2700000" algn="tl" rotWithShape="0">
                <a:schemeClr val="accent2">
                  <a:shade val="53000"/>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2">
                      <a:shade val="53000"/>
                    </a:schemeClr>
                  </a:solidFill>
                  <a:effectLst/>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4"/>
        <c:spPr>
          <a:solidFill>
            <a:schemeClr val="accent2">
              <a:shade val="76000"/>
              <a:alpha val="90000"/>
            </a:schemeClr>
          </a:solidFill>
          <a:ln w="19050">
            <a:solidFill>
              <a:schemeClr val="accent2">
                <a:shade val="76000"/>
                <a:lumMod val="75000"/>
              </a:schemeClr>
            </a:solidFill>
          </a:ln>
          <a:effectLst>
            <a:innerShdw blurRad="114300">
              <a:schemeClr val="accent2">
                <a:shade val="76000"/>
                <a:lumMod val="75000"/>
              </a:schemeClr>
            </a:innerShdw>
          </a:effectLst>
          <a:scene3d>
            <a:camera prst="orthographicFront"/>
            <a:lightRig rig="threePt" dir="t"/>
          </a:scene3d>
          <a:sp3d contourW="19050" prstMaterial="flat">
            <a:contourClr>
              <a:schemeClr val="accent2">
                <a:shade val="76000"/>
                <a:lumMod val="75000"/>
              </a:schemeClr>
            </a:contourClr>
          </a:sp3d>
        </c:spPr>
        <c:dLbl>
          <c:idx val="0"/>
          <c:spPr>
            <a:solidFill>
              <a:schemeClr val="lt1">
                <a:alpha val="90000"/>
              </a:schemeClr>
            </a:solidFill>
            <a:ln w="12700" cap="flat" cmpd="sng" algn="ctr">
              <a:solidFill>
                <a:schemeClr val="accent2">
                  <a:shade val="76000"/>
                </a:schemeClr>
              </a:solidFill>
              <a:round/>
            </a:ln>
            <a:effectLst>
              <a:outerShdw blurRad="50800" dist="38100" dir="2700000" algn="tl" rotWithShape="0">
                <a:schemeClr val="accent2">
                  <a:shade val="76000"/>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2">
                      <a:shade val="76000"/>
                    </a:schemeClr>
                  </a:solidFill>
                  <a:effectLst/>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5"/>
        <c:spPr>
          <a:solidFill>
            <a:schemeClr val="accent2">
              <a:alpha val="90000"/>
            </a:schemeClr>
          </a:solidFill>
          <a:ln w="19050">
            <a:solidFill>
              <a:schemeClr val="accent2">
                <a:lumMod val="75000"/>
              </a:schemeClr>
            </a:solidFill>
          </a:ln>
          <a:effectLst>
            <a:innerShdw blurRad="114300">
              <a:schemeClr val="accent2">
                <a:lumMod val="75000"/>
              </a:schemeClr>
            </a:innerShdw>
          </a:effectLst>
          <a:scene3d>
            <a:camera prst="orthographicFront"/>
            <a:lightRig rig="threePt" dir="t"/>
          </a:scene3d>
          <a:sp3d contourW="19050" prstMaterial="flat">
            <a:contourClr>
              <a:schemeClr val="accent2">
                <a:lumMod val="75000"/>
              </a:schemeClr>
            </a:contourClr>
          </a:sp3d>
        </c:spPr>
        <c:dLbl>
          <c:idx val="0"/>
          <c:spPr>
            <a:solidFill>
              <a:schemeClr val="lt1">
                <a:alpha val="90000"/>
              </a:schemeClr>
            </a:solidFill>
            <a:ln w="12700" cap="flat" cmpd="sng" algn="ctr">
              <a:solidFill>
                <a:schemeClr val="accent2"/>
              </a:solidFill>
              <a:round/>
            </a:ln>
            <a:effectLst>
              <a:outerShdw blurRad="50800" dist="38100" dir="2700000" algn="tl" rotWithShape="0">
                <a:schemeClr val="accent2">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2"/>
                  </a:solidFill>
                  <a:effectLst/>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6"/>
        <c:spPr>
          <a:solidFill>
            <a:schemeClr val="accent2">
              <a:tint val="77000"/>
              <a:alpha val="90000"/>
            </a:schemeClr>
          </a:solidFill>
          <a:ln w="19050">
            <a:solidFill>
              <a:schemeClr val="accent2">
                <a:tint val="77000"/>
                <a:lumMod val="75000"/>
              </a:schemeClr>
            </a:solidFill>
          </a:ln>
          <a:effectLst>
            <a:innerShdw blurRad="114300">
              <a:schemeClr val="accent2">
                <a:tint val="77000"/>
                <a:lumMod val="75000"/>
              </a:schemeClr>
            </a:innerShdw>
          </a:effectLst>
          <a:scene3d>
            <a:camera prst="orthographicFront"/>
            <a:lightRig rig="threePt" dir="t"/>
          </a:scene3d>
          <a:sp3d contourW="19050" prstMaterial="flat">
            <a:contourClr>
              <a:schemeClr val="accent2">
                <a:tint val="77000"/>
                <a:lumMod val="75000"/>
              </a:schemeClr>
            </a:contourClr>
          </a:sp3d>
        </c:spPr>
        <c:dLbl>
          <c:idx val="0"/>
          <c:spPr>
            <a:solidFill>
              <a:schemeClr val="lt1">
                <a:alpha val="90000"/>
              </a:schemeClr>
            </a:solidFill>
            <a:ln w="12700" cap="flat" cmpd="sng" algn="ctr">
              <a:solidFill>
                <a:schemeClr val="accent2">
                  <a:tint val="77000"/>
                </a:schemeClr>
              </a:solidFill>
              <a:round/>
            </a:ln>
            <a:effectLst>
              <a:outerShdw blurRad="50800" dist="38100" dir="2700000" algn="tl" rotWithShape="0">
                <a:schemeClr val="accent2">
                  <a:tint val="77000"/>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2">
                      <a:tint val="77000"/>
                    </a:schemeClr>
                  </a:solidFill>
                  <a:effectLst/>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7"/>
        <c:spPr>
          <a:solidFill>
            <a:schemeClr val="accent2">
              <a:tint val="54000"/>
              <a:alpha val="90000"/>
            </a:schemeClr>
          </a:solidFill>
          <a:ln w="19050">
            <a:solidFill>
              <a:schemeClr val="accent2">
                <a:tint val="54000"/>
                <a:lumMod val="75000"/>
              </a:schemeClr>
            </a:solidFill>
          </a:ln>
          <a:effectLst>
            <a:innerShdw blurRad="114300">
              <a:schemeClr val="accent2">
                <a:tint val="54000"/>
                <a:lumMod val="75000"/>
              </a:schemeClr>
            </a:innerShdw>
          </a:effectLst>
          <a:scene3d>
            <a:camera prst="orthographicFront"/>
            <a:lightRig rig="threePt" dir="t"/>
          </a:scene3d>
          <a:sp3d contourW="19050" prstMaterial="flat">
            <a:contourClr>
              <a:schemeClr val="accent2">
                <a:tint val="54000"/>
                <a:lumMod val="75000"/>
              </a:schemeClr>
            </a:contourClr>
          </a:sp3d>
        </c:spPr>
        <c:dLbl>
          <c:idx val="0"/>
          <c:spPr>
            <a:solidFill>
              <a:schemeClr val="lt1">
                <a:alpha val="90000"/>
              </a:schemeClr>
            </a:solidFill>
            <a:ln w="12700" cap="flat" cmpd="sng" algn="ctr">
              <a:solidFill>
                <a:schemeClr val="accent2">
                  <a:tint val="54000"/>
                </a:schemeClr>
              </a:solidFill>
              <a:round/>
            </a:ln>
            <a:effectLst>
              <a:outerShdw blurRad="50800" dist="38100" dir="2700000" algn="tl" rotWithShape="0">
                <a:schemeClr val="accent2">
                  <a:tint val="54000"/>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2">
                      <a:tint val="54000"/>
                    </a:schemeClr>
                  </a:solidFill>
                  <a:effectLst/>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Tables!$E$3</c:f>
              <c:strCache>
                <c:ptCount val="1"/>
                <c:pt idx="0">
                  <c:v>Total</c:v>
                </c:pt>
              </c:strCache>
            </c:strRef>
          </c:tx>
          <c:dPt>
            <c:idx val="0"/>
            <c:bubble3D val="0"/>
            <c:spPr>
              <a:solidFill>
                <a:schemeClr val="accent2">
                  <a:shade val="53000"/>
                  <a:alpha val="90000"/>
                </a:schemeClr>
              </a:solidFill>
              <a:ln w="19050">
                <a:solidFill>
                  <a:schemeClr val="accent2">
                    <a:shade val="53000"/>
                    <a:lumMod val="75000"/>
                  </a:schemeClr>
                </a:solidFill>
              </a:ln>
              <a:effectLst>
                <a:innerShdw blurRad="114300">
                  <a:schemeClr val="accent2">
                    <a:shade val="53000"/>
                    <a:lumMod val="75000"/>
                  </a:schemeClr>
                </a:innerShdw>
              </a:effectLst>
              <a:scene3d>
                <a:camera prst="orthographicFront"/>
                <a:lightRig rig="threePt" dir="t"/>
              </a:scene3d>
              <a:sp3d contourW="19050" prstMaterial="flat">
                <a:contourClr>
                  <a:schemeClr val="accent2">
                    <a:shade val="53000"/>
                    <a:lumMod val="75000"/>
                  </a:schemeClr>
                </a:contourClr>
              </a:sp3d>
            </c:spPr>
            <c:extLst>
              <c:ext xmlns:c16="http://schemas.microsoft.com/office/drawing/2014/chart" uri="{C3380CC4-5D6E-409C-BE32-E72D297353CC}">
                <c16:uniqueId val="{00000001-A1B4-420E-B50F-DC665C311239}"/>
              </c:ext>
            </c:extLst>
          </c:dPt>
          <c:dPt>
            <c:idx val="1"/>
            <c:bubble3D val="0"/>
            <c:spPr>
              <a:solidFill>
                <a:schemeClr val="accent2">
                  <a:shade val="53000"/>
                  <a:alpha val="90000"/>
                </a:schemeClr>
              </a:solidFill>
              <a:ln w="19050">
                <a:solidFill>
                  <a:schemeClr val="accent2">
                    <a:shade val="53000"/>
                    <a:lumMod val="75000"/>
                  </a:schemeClr>
                </a:solidFill>
              </a:ln>
              <a:effectLst>
                <a:innerShdw blurRad="114300">
                  <a:schemeClr val="accent2">
                    <a:shade val="53000"/>
                    <a:lumMod val="75000"/>
                  </a:schemeClr>
                </a:innerShdw>
              </a:effectLst>
              <a:scene3d>
                <a:camera prst="orthographicFront"/>
                <a:lightRig rig="threePt" dir="t"/>
              </a:scene3d>
              <a:sp3d contourW="19050" prstMaterial="flat">
                <a:contourClr>
                  <a:schemeClr val="accent2">
                    <a:shade val="53000"/>
                    <a:lumMod val="75000"/>
                  </a:schemeClr>
                </a:contourClr>
              </a:sp3d>
            </c:spPr>
            <c:extLst>
              <c:ext xmlns:c16="http://schemas.microsoft.com/office/drawing/2014/chart" uri="{C3380CC4-5D6E-409C-BE32-E72D297353CC}">
                <c16:uniqueId val="{00000003-A1B4-420E-B50F-DC665C311239}"/>
              </c:ext>
            </c:extLst>
          </c:dPt>
          <c:dPt>
            <c:idx val="2"/>
            <c:bubble3D val="0"/>
            <c:spPr>
              <a:solidFill>
                <a:schemeClr val="accent2">
                  <a:tint val="77000"/>
                  <a:alpha val="90000"/>
                </a:schemeClr>
              </a:solidFill>
              <a:ln w="19050">
                <a:solidFill>
                  <a:schemeClr val="accent2">
                    <a:tint val="77000"/>
                    <a:lumMod val="75000"/>
                  </a:schemeClr>
                </a:solidFill>
              </a:ln>
              <a:effectLst>
                <a:innerShdw blurRad="114300">
                  <a:schemeClr val="accent2">
                    <a:tint val="77000"/>
                    <a:lumMod val="75000"/>
                  </a:schemeClr>
                </a:innerShdw>
              </a:effectLst>
              <a:scene3d>
                <a:camera prst="orthographicFront"/>
                <a:lightRig rig="threePt" dir="t"/>
              </a:scene3d>
              <a:sp3d contourW="19050" prstMaterial="flat">
                <a:contourClr>
                  <a:schemeClr val="accent2">
                    <a:tint val="77000"/>
                    <a:lumMod val="75000"/>
                  </a:schemeClr>
                </a:contourClr>
              </a:sp3d>
            </c:spPr>
            <c:extLst>
              <c:ext xmlns:c16="http://schemas.microsoft.com/office/drawing/2014/chart" uri="{C3380CC4-5D6E-409C-BE32-E72D297353CC}">
                <c16:uniqueId val="{00000005-A1B4-420E-B50F-DC665C311239}"/>
              </c:ext>
            </c:extLst>
          </c:dPt>
          <c:dPt>
            <c:idx val="3"/>
            <c:bubble3D val="0"/>
            <c:spPr>
              <a:solidFill>
                <a:schemeClr val="accent2">
                  <a:shade val="76000"/>
                  <a:alpha val="90000"/>
                </a:schemeClr>
              </a:solidFill>
              <a:ln w="19050">
                <a:solidFill>
                  <a:schemeClr val="accent2">
                    <a:shade val="76000"/>
                    <a:lumMod val="75000"/>
                  </a:schemeClr>
                </a:solidFill>
              </a:ln>
              <a:effectLst>
                <a:innerShdw blurRad="114300">
                  <a:schemeClr val="accent2">
                    <a:shade val="76000"/>
                    <a:lumMod val="75000"/>
                  </a:schemeClr>
                </a:innerShdw>
              </a:effectLst>
              <a:scene3d>
                <a:camera prst="orthographicFront"/>
                <a:lightRig rig="threePt" dir="t"/>
              </a:scene3d>
              <a:sp3d contourW="19050" prstMaterial="flat">
                <a:contourClr>
                  <a:schemeClr val="accent2">
                    <a:shade val="76000"/>
                    <a:lumMod val="75000"/>
                  </a:schemeClr>
                </a:contourClr>
              </a:sp3d>
            </c:spPr>
            <c:extLst>
              <c:ext xmlns:c16="http://schemas.microsoft.com/office/drawing/2014/chart" uri="{C3380CC4-5D6E-409C-BE32-E72D297353CC}">
                <c16:uniqueId val="{00000007-A1B4-420E-B50F-DC665C311239}"/>
              </c:ext>
            </c:extLst>
          </c:dPt>
          <c:dPt>
            <c:idx val="4"/>
            <c:bubble3D val="0"/>
            <c:spPr>
              <a:solidFill>
                <a:schemeClr val="accent2">
                  <a:tint val="54000"/>
                  <a:alpha val="90000"/>
                </a:schemeClr>
              </a:solidFill>
              <a:ln w="19050">
                <a:solidFill>
                  <a:schemeClr val="accent2">
                    <a:tint val="54000"/>
                    <a:lumMod val="75000"/>
                  </a:schemeClr>
                </a:solidFill>
              </a:ln>
              <a:effectLst>
                <a:innerShdw blurRad="114300">
                  <a:schemeClr val="accent2">
                    <a:tint val="54000"/>
                    <a:lumMod val="75000"/>
                  </a:schemeClr>
                </a:innerShdw>
              </a:effectLst>
              <a:scene3d>
                <a:camera prst="orthographicFront"/>
                <a:lightRig rig="threePt" dir="t"/>
              </a:scene3d>
              <a:sp3d contourW="19050" prstMaterial="flat">
                <a:contourClr>
                  <a:schemeClr val="accent2">
                    <a:tint val="54000"/>
                    <a:lumMod val="75000"/>
                  </a:schemeClr>
                </a:contourClr>
              </a:sp3d>
            </c:spPr>
            <c:extLst>
              <c:ext xmlns:c16="http://schemas.microsoft.com/office/drawing/2014/chart" uri="{C3380CC4-5D6E-409C-BE32-E72D297353CC}">
                <c16:uniqueId val="{00000009-A1B4-420E-B50F-DC665C311239}"/>
              </c:ext>
            </c:extLst>
          </c:dPt>
          <c:dLbls>
            <c:dLbl>
              <c:idx val="0"/>
              <c:spPr>
                <a:solidFill>
                  <a:schemeClr val="lt1">
                    <a:alpha val="90000"/>
                  </a:schemeClr>
                </a:solidFill>
                <a:ln w="12700" cap="flat" cmpd="sng" algn="ctr">
                  <a:solidFill>
                    <a:schemeClr val="accent2"/>
                  </a:solidFill>
                  <a:round/>
                </a:ln>
                <a:effectLst>
                  <a:outerShdw blurRad="50800" dist="38100" dir="2700000" algn="tl" rotWithShape="0">
                    <a:schemeClr val="accent2">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2"/>
                      </a:solidFill>
                      <a:effectLst/>
                      <a:latin typeface="+mn-lt"/>
                      <a:ea typeface="+mn-ea"/>
                      <a:cs typeface="+mn-cs"/>
                    </a:defRPr>
                  </a:pPr>
                  <a:endParaRPr lang="en-US"/>
                </a:p>
              </c:txPr>
              <c:dLblPos val="inEnd"/>
              <c:showLegendKey val="0"/>
              <c:showVal val="0"/>
              <c:showCatName val="1"/>
              <c:showSerName val="0"/>
              <c:showPercent val="1"/>
              <c:showBubbleSize val="0"/>
              <c:extLst>
                <c:ext xmlns:c16="http://schemas.microsoft.com/office/drawing/2014/chart" uri="{C3380CC4-5D6E-409C-BE32-E72D297353CC}">
                  <c16:uniqueId val="{00000001-A1B4-420E-B50F-DC665C311239}"/>
                </c:ext>
              </c:extLst>
            </c:dLbl>
            <c:dLbl>
              <c:idx val="1"/>
              <c:spPr>
                <a:solidFill>
                  <a:schemeClr val="lt1">
                    <a:alpha val="90000"/>
                  </a:schemeClr>
                </a:solidFill>
                <a:ln w="12700" cap="flat" cmpd="sng" algn="ctr">
                  <a:solidFill>
                    <a:schemeClr val="accent2">
                      <a:shade val="53000"/>
                    </a:schemeClr>
                  </a:solidFill>
                  <a:round/>
                </a:ln>
                <a:effectLst>
                  <a:outerShdw blurRad="50800" dist="38100" dir="2700000" algn="tl" rotWithShape="0">
                    <a:schemeClr val="accent2">
                      <a:shade val="53000"/>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2">
                          <a:shade val="53000"/>
                        </a:schemeClr>
                      </a:solidFill>
                      <a:effectLst/>
                      <a:latin typeface="+mn-lt"/>
                      <a:ea typeface="+mn-ea"/>
                      <a:cs typeface="+mn-cs"/>
                    </a:defRPr>
                  </a:pPr>
                  <a:endParaRPr lang="en-US"/>
                </a:p>
              </c:txPr>
              <c:dLblPos val="inEnd"/>
              <c:showLegendKey val="0"/>
              <c:showVal val="0"/>
              <c:showCatName val="1"/>
              <c:showSerName val="0"/>
              <c:showPercent val="1"/>
              <c:showBubbleSize val="0"/>
              <c:extLst>
                <c:ext xmlns:c16="http://schemas.microsoft.com/office/drawing/2014/chart" uri="{C3380CC4-5D6E-409C-BE32-E72D297353CC}">
                  <c16:uniqueId val="{00000003-A1B4-420E-B50F-DC665C311239}"/>
                </c:ext>
              </c:extLst>
            </c:dLbl>
            <c:dLbl>
              <c:idx val="2"/>
              <c:spPr>
                <a:solidFill>
                  <a:schemeClr val="lt1">
                    <a:alpha val="90000"/>
                  </a:schemeClr>
                </a:solidFill>
                <a:ln w="12700" cap="flat" cmpd="sng" algn="ctr">
                  <a:solidFill>
                    <a:schemeClr val="accent2">
                      <a:tint val="77000"/>
                    </a:schemeClr>
                  </a:solidFill>
                  <a:round/>
                </a:ln>
                <a:effectLst>
                  <a:outerShdw blurRad="50800" dist="38100" dir="2700000" algn="tl" rotWithShape="0">
                    <a:schemeClr val="accent2">
                      <a:tint val="77000"/>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2">
                          <a:tint val="77000"/>
                        </a:schemeClr>
                      </a:solidFill>
                      <a:effectLst/>
                      <a:latin typeface="+mn-lt"/>
                      <a:ea typeface="+mn-ea"/>
                      <a:cs typeface="+mn-cs"/>
                    </a:defRPr>
                  </a:pPr>
                  <a:endParaRPr lang="en-US"/>
                </a:p>
              </c:txPr>
              <c:dLblPos val="inEnd"/>
              <c:showLegendKey val="0"/>
              <c:showVal val="0"/>
              <c:showCatName val="1"/>
              <c:showSerName val="0"/>
              <c:showPercent val="1"/>
              <c:showBubbleSize val="0"/>
              <c:extLst>
                <c:ext xmlns:c16="http://schemas.microsoft.com/office/drawing/2014/chart" uri="{C3380CC4-5D6E-409C-BE32-E72D297353CC}">
                  <c16:uniqueId val="{00000005-A1B4-420E-B50F-DC665C311239}"/>
                </c:ext>
              </c:extLst>
            </c:dLbl>
            <c:dLbl>
              <c:idx val="3"/>
              <c:spPr>
                <a:solidFill>
                  <a:schemeClr val="lt1">
                    <a:alpha val="90000"/>
                  </a:schemeClr>
                </a:solidFill>
                <a:ln w="12700" cap="flat" cmpd="sng" algn="ctr">
                  <a:solidFill>
                    <a:schemeClr val="accent2">
                      <a:shade val="76000"/>
                    </a:schemeClr>
                  </a:solidFill>
                  <a:round/>
                </a:ln>
                <a:effectLst>
                  <a:outerShdw blurRad="50800" dist="38100" dir="2700000" algn="tl" rotWithShape="0">
                    <a:schemeClr val="accent2">
                      <a:shade val="76000"/>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2">
                          <a:shade val="76000"/>
                        </a:schemeClr>
                      </a:solidFill>
                      <a:effectLst/>
                      <a:latin typeface="+mn-lt"/>
                      <a:ea typeface="+mn-ea"/>
                      <a:cs typeface="+mn-cs"/>
                    </a:defRPr>
                  </a:pPr>
                  <a:endParaRPr lang="en-US"/>
                </a:p>
              </c:txPr>
              <c:dLblPos val="inEnd"/>
              <c:showLegendKey val="0"/>
              <c:showVal val="0"/>
              <c:showCatName val="1"/>
              <c:showSerName val="0"/>
              <c:showPercent val="1"/>
              <c:showBubbleSize val="0"/>
              <c:extLst>
                <c:ext xmlns:c16="http://schemas.microsoft.com/office/drawing/2014/chart" uri="{C3380CC4-5D6E-409C-BE32-E72D297353CC}">
                  <c16:uniqueId val="{00000007-A1B4-420E-B50F-DC665C311239}"/>
                </c:ext>
              </c:extLst>
            </c:dLbl>
            <c:dLbl>
              <c:idx val="4"/>
              <c:spPr>
                <a:solidFill>
                  <a:schemeClr val="lt1">
                    <a:alpha val="90000"/>
                  </a:schemeClr>
                </a:solidFill>
                <a:ln w="12700" cap="flat" cmpd="sng" algn="ctr">
                  <a:solidFill>
                    <a:schemeClr val="accent2">
                      <a:tint val="54000"/>
                    </a:schemeClr>
                  </a:solidFill>
                  <a:round/>
                </a:ln>
                <a:effectLst>
                  <a:outerShdw blurRad="50800" dist="38100" dir="2700000" algn="tl" rotWithShape="0">
                    <a:schemeClr val="accent2">
                      <a:tint val="54000"/>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2">
                          <a:tint val="54000"/>
                        </a:schemeClr>
                      </a:solidFill>
                      <a:effectLst/>
                      <a:latin typeface="+mn-lt"/>
                      <a:ea typeface="+mn-ea"/>
                      <a:cs typeface="+mn-cs"/>
                    </a:defRPr>
                  </a:pPr>
                  <a:endParaRPr lang="en-US"/>
                </a:p>
              </c:txPr>
              <c:dLblPos val="inEnd"/>
              <c:showLegendKey val="0"/>
              <c:showVal val="0"/>
              <c:showCatName val="1"/>
              <c:showSerName val="0"/>
              <c:showPercent val="1"/>
              <c:showBubbleSize val="0"/>
              <c:extLst>
                <c:ext xmlns:c16="http://schemas.microsoft.com/office/drawing/2014/chart" uri="{C3380CC4-5D6E-409C-BE32-E72D297353CC}">
                  <c16:uniqueId val="{00000009-A1B4-420E-B50F-DC665C311239}"/>
                </c:ext>
              </c:extLst>
            </c:dLbl>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2"/>
                    </a:solidFill>
                    <a:effectLst/>
                    <a:latin typeface="+mn-lt"/>
                    <a:ea typeface="+mn-ea"/>
                    <a:cs typeface="+mn-cs"/>
                  </a:defRPr>
                </a:pPr>
                <a:endParaRPr lang="en-US"/>
              </a:p>
            </c:txPr>
            <c:dLblPos val="inEnd"/>
            <c:showLegendKey val="0"/>
            <c:showVal val="0"/>
            <c:showCatName val="1"/>
            <c:showSerName val="0"/>
            <c:showPercent val="1"/>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Tables!$D$4:$D$9</c:f>
              <c:strCache>
                <c:ptCount val="5"/>
                <c:pt idx="0">
                  <c:v>Meme</c:v>
                </c:pt>
                <c:pt idx="1">
                  <c:v>DeFi</c:v>
                </c:pt>
                <c:pt idx="2">
                  <c:v>Payment</c:v>
                </c:pt>
                <c:pt idx="3">
                  <c:v>Layer1</c:v>
                </c:pt>
                <c:pt idx="4">
                  <c:v>Smart Contract</c:v>
                </c:pt>
              </c:strCache>
            </c:strRef>
          </c:cat>
          <c:val>
            <c:numRef>
              <c:f>Tables!$E$4:$E$9</c:f>
              <c:numCache>
                <c:formatCode>General</c:formatCode>
                <c:ptCount val="5"/>
                <c:pt idx="0">
                  <c:v>98782173960697.797</c:v>
                </c:pt>
                <c:pt idx="1">
                  <c:v>95570022233159.563</c:v>
                </c:pt>
                <c:pt idx="2">
                  <c:v>92506102558620.344</c:v>
                </c:pt>
                <c:pt idx="3">
                  <c:v>80483955888895.531</c:v>
                </c:pt>
                <c:pt idx="4">
                  <c:v>76929334166798.922</c:v>
                </c:pt>
              </c:numCache>
            </c:numRef>
          </c:val>
          <c:extLst>
            <c:ext xmlns:c16="http://schemas.microsoft.com/office/drawing/2014/chart" uri="{C3380CC4-5D6E-409C-BE32-E72D297353CC}">
              <c16:uniqueId val="{0000000A-A1B4-420E-B50F-DC665C311239}"/>
            </c:ext>
          </c:extLst>
        </c:ser>
        <c:dLbls>
          <c:dLblPos val="inEnd"/>
          <c:showLegendKey val="0"/>
          <c:showVal val="0"/>
          <c:showCatName val="0"/>
          <c:showSerName val="0"/>
          <c:showPercent val="1"/>
          <c:showBubbleSize val="0"/>
          <c:showLeaderLines val="1"/>
        </c:dLbls>
      </c:pie3DChart>
      <c:spPr>
        <a:solidFill>
          <a:schemeClr val="accent2">
            <a:lumMod val="50000"/>
          </a:schemeClr>
        </a:solidFill>
        <a:ln>
          <a:noFill/>
        </a:ln>
        <a:effectLst/>
      </c:spPr>
    </c:plotArea>
    <c:legend>
      <c:legendPos val="r"/>
      <c:layout>
        <c:manualLayout>
          <c:xMode val="edge"/>
          <c:yMode val="edge"/>
          <c:x val="0.78118941382327212"/>
          <c:y val="0.42969670457859432"/>
          <c:w val="0.20214391951006125"/>
          <c:h val="0.39409995625546806"/>
        </c:manualLayout>
      </c:layout>
      <c:overlay val="0"/>
      <c:spPr>
        <a:noFill/>
        <a:ln>
          <a:solidFill>
            <a:schemeClr val="accent2">
              <a:lumMod val="75000"/>
            </a:schemeClr>
          </a:solidFill>
        </a:ln>
        <a:effectLst>
          <a:glow rad="63500">
            <a:schemeClr val="accent2">
              <a:satMod val="175000"/>
              <a:alpha val="40000"/>
            </a:schemeClr>
          </a:glow>
          <a:outerShdw blurRad="50800" dist="38100" dir="2700000" algn="tl" rotWithShape="0">
            <a:prstClr val="black">
              <a:alpha val="40000"/>
            </a:prstClr>
          </a:outerShdw>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[cryptocurrencymarket.xlsx]Tables!PivotTable3</c:name>
    <c:fmtId val="12"/>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solidFill>
                  <a:schemeClr val="bg2"/>
                </a:solidFill>
              </a:rPr>
              <a:t>PRICE</a:t>
            </a:r>
            <a:r>
              <a:rPr lang="en-US" baseline="0">
                <a:solidFill>
                  <a:schemeClr val="bg2"/>
                </a:solidFill>
              </a:rPr>
              <a:t>TREND OVER TIME</a:t>
            </a:r>
            <a:endParaRPr lang="en-US">
              <a:solidFill>
                <a:schemeClr val="bg2"/>
              </a:solidFill>
            </a:endParaRPr>
          </a:p>
        </c:rich>
      </c:tx>
      <c:overlay val="0"/>
      <c:spPr>
        <a:solidFill>
          <a:schemeClr val="accent2">
            <a:lumMod val="75000"/>
          </a:schemeClr>
        </a:solidFill>
        <a:ln>
          <a:solidFill>
            <a:schemeClr val="accent2">
              <a:lumMod val="40000"/>
              <a:lumOff val="60000"/>
            </a:schemeClr>
          </a:solid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22225" cap="rnd" cmpd="sng" algn="ctr">
            <a:solidFill>
              <a:srgbClr val="C00000"/>
            </a:solidFill>
            <a:miter lim="800000"/>
          </a:ln>
          <a:effectLst>
            <a:glow rad="139700">
              <a:schemeClr val="accent2">
                <a:satMod val="175000"/>
                <a:alpha val="14000"/>
              </a:schemeClr>
            </a:glow>
          </a:effectLst>
        </c:spPr>
        <c:marker>
          <c:symbol val="circle"/>
          <c:size val="4"/>
          <c:spPr>
            <a:solidFill>
              <a:schemeClr val="bg2"/>
            </a:solidFill>
            <a:ln>
              <a:solidFill>
                <a:srgbClr val="C00000"/>
              </a:solid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22225" cap="rnd" cmpd="sng" algn="ctr">
            <a:solidFill>
              <a:srgbClr val="C00000"/>
            </a:solidFill>
            <a:miter lim="800000"/>
          </a:ln>
          <a:effectLst>
            <a:glow rad="139700">
              <a:schemeClr val="accent2">
                <a:satMod val="175000"/>
                <a:alpha val="14000"/>
              </a:schemeClr>
            </a:glow>
          </a:effectLst>
        </c:spPr>
        <c:marker>
          <c:symbol val="circle"/>
          <c:size val="4"/>
          <c:spPr>
            <a:solidFill>
              <a:schemeClr val="bg2"/>
            </a:solidFill>
            <a:ln>
              <a:solidFill>
                <a:srgbClr val="C00000"/>
              </a:solid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rgbClr val="C00000"/>
            </a:solidFill>
          </a:ln>
          <a:effectLst>
            <a:glow rad="139700">
              <a:schemeClr val="accent2">
                <a:satMod val="175000"/>
                <a:alpha val="14000"/>
              </a:schemeClr>
            </a:glow>
          </a:effectLst>
        </c:spPr>
        <c:marker>
          <c:symbol val="circle"/>
          <c:size val="4"/>
          <c:spPr>
            <a:solidFill>
              <a:schemeClr val="bg2"/>
            </a:solidFill>
            <a:ln>
              <a:solidFill>
                <a:srgbClr val="C00000"/>
              </a:solid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Tables!$H$3</c:f>
              <c:strCache>
                <c:ptCount val="1"/>
                <c:pt idx="0">
                  <c:v>Total</c:v>
                </c:pt>
              </c:strCache>
            </c:strRef>
          </c:tx>
          <c:spPr>
            <a:ln w="22225" cap="rnd">
              <a:solidFill>
                <a:srgbClr val="C00000"/>
              </a:solidFill>
            </a:ln>
            <a:effectLst>
              <a:glow rad="139700">
                <a:schemeClr val="accent2">
                  <a:satMod val="175000"/>
                  <a:alpha val="14000"/>
                </a:schemeClr>
              </a:glow>
            </a:effectLst>
          </c:spPr>
          <c:marker>
            <c:symbol val="circle"/>
            <c:size val="4"/>
            <c:spPr>
              <a:solidFill>
                <a:schemeClr val="bg2"/>
              </a:solidFill>
              <a:ln>
                <a:solidFill>
                  <a:srgbClr val="C00000"/>
                </a:solidFill>
              </a:ln>
              <a:effectLst>
                <a:glow rad="63500">
                  <a:schemeClr val="accent2">
                    <a:satMod val="175000"/>
                    <a:alpha val="25000"/>
                  </a:schemeClr>
                </a:glow>
              </a:effectLst>
            </c:spPr>
          </c:marker>
          <c:cat>
            <c:strRef>
              <c:f>Tables!$G$4:$G$16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Tables!$H$4:$H$16</c:f>
              <c:numCache>
                <c:formatCode>General</c:formatCode>
                <c:ptCount val="12"/>
                <c:pt idx="0">
                  <c:v>3674206.9899999993</c:v>
                </c:pt>
                <c:pt idx="1">
                  <c:v>3154029.3899999983</c:v>
                </c:pt>
                <c:pt idx="2">
                  <c:v>2960789.4199999995</c:v>
                </c:pt>
                <c:pt idx="3">
                  <c:v>2920165.45</c:v>
                </c:pt>
                <c:pt idx="4">
                  <c:v>2926156.0799999987</c:v>
                </c:pt>
                <c:pt idx="5">
                  <c:v>3484557.03</c:v>
                </c:pt>
                <c:pt idx="6">
                  <c:v>3011290.5999999992</c:v>
                </c:pt>
                <c:pt idx="7">
                  <c:v>2717528.44</c:v>
                </c:pt>
                <c:pt idx="8">
                  <c:v>2387934.71</c:v>
                </c:pt>
                <c:pt idx="9">
                  <c:v>3084211.77</c:v>
                </c:pt>
                <c:pt idx="10">
                  <c:v>2685941.149999999</c:v>
                </c:pt>
                <c:pt idx="11">
                  <c:v>2611970.5000000009</c:v>
                </c:pt>
              </c:numCache>
            </c:numRef>
          </c:val>
          <c:smooth val="0"/>
          <c:extLst>
            <c:ext xmlns:c16="http://schemas.microsoft.com/office/drawing/2014/chart" uri="{C3380CC4-5D6E-409C-BE32-E72D297353CC}">
              <c16:uniqueId val="{00000000-860D-4D83-ABC5-EDE1C120DB7B}"/>
            </c:ext>
          </c:extLst>
        </c:ser>
        <c:dLbls>
          <c:showLegendKey val="0"/>
          <c:showVal val="0"/>
          <c:showCatName val="0"/>
          <c:showSerName val="0"/>
          <c:showPercent val="0"/>
          <c:showBubbleSize val="0"/>
        </c:dLbls>
        <c:marker val="1"/>
        <c:smooth val="0"/>
        <c:axId val="610661424"/>
        <c:axId val="610663944"/>
      </c:lineChart>
      <c:catAx>
        <c:axId val="610661424"/>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10663944"/>
        <c:crosses val="autoZero"/>
        <c:auto val="1"/>
        <c:lblAlgn val="ctr"/>
        <c:lblOffset val="100"/>
        <c:noMultiLvlLbl val="0"/>
      </c:catAx>
      <c:valAx>
        <c:axId val="610663944"/>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10661424"/>
        <c:crosses val="autoZero"/>
        <c:crossBetween val="between"/>
      </c:valAx>
      <c:spPr>
        <a:solidFill>
          <a:schemeClr val="tx2">
            <a:lumMod val="20000"/>
            <a:lumOff val="80000"/>
          </a:schemeClr>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tx2">
        <a:lumMod val="7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[cryptocurrencymarket.xlsx]Tables!PivotTable4</c:name>
    <c:fmtId val="1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24H</a:t>
            </a:r>
            <a:r>
              <a:rPr lang="en-US" baseline="0"/>
              <a:t> TRADINGVOLUME BY CRYPTOCURRENCY</a:t>
            </a:r>
            <a:endParaRPr lang="en-US"/>
          </a:p>
        </c:rich>
      </c:tx>
      <c:layout>
        <c:manualLayout>
          <c:xMode val="edge"/>
          <c:yMode val="edge"/>
          <c:x val="0.23265266841644788"/>
          <c:y val="0.12397929425488481"/>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solidFill>
            <a:schemeClr val="accent2">
              <a:lumMod val="75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lumMod val="75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Tables!$K$3</c:f>
              <c:strCache>
                <c:ptCount val="1"/>
                <c:pt idx="0">
                  <c:v>Total</c:v>
                </c:pt>
              </c:strCache>
            </c:strRef>
          </c:tx>
          <c:spPr>
            <a:solidFill>
              <a:schemeClr val="accent2">
                <a:lumMod val="75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Tables!$J$4:$J$14</c:f>
              <c:strCache>
                <c:ptCount val="10"/>
                <c:pt idx="0">
                  <c:v>Avalanche</c:v>
                </c:pt>
                <c:pt idx="1">
                  <c:v>Binance Coin</c:v>
                </c:pt>
                <c:pt idx="2">
                  <c:v>Bitcoin</c:v>
                </c:pt>
                <c:pt idx="3">
                  <c:v>Cardano</c:v>
                </c:pt>
                <c:pt idx="4">
                  <c:v>Dogecoin</c:v>
                </c:pt>
                <c:pt idx="5">
                  <c:v>Ethereum</c:v>
                </c:pt>
                <c:pt idx="6">
                  <c:v>Litecoin</c:v>
                </c:pt>
                <c:pt idx="7">
                  <c:v>Polkadot</c:v>
                </c:pt>
                <c:pt idx="8">
                  <c:v>Ripple</c:v>
                </c:pt>
                <c:pt idx="9">
                  <c:v>Solana</c:v>
                </c:pt>
              </c:strCache>
            </c:strRef>
          </c:cat>
          <c:val>
            <c:numRef>
              <c:f>Tables!$K$4:$K$14</c:f>
              <c:numCache>
                <c:formatCode>General</c:formatCode>
                <c:ptCount val="10"/>
                <c:pt idx="0">
                  <c:v>2914295179231.1997</c:v>
                </c:pt>
                <c:pt idx="1">
                  <c:v>2351340599858.3403</c:v>
                </c:pt>
                <c:pt idx="2">
                  <c:v>2024390023810.7097</c:v>
                </c:pt>
                <c:pt idx="3">
                  <c:v>2525602988322.9902</c:v>
                </c:pt>
                <c:pt idx="4">
                  <c:v>2411184444620.541</c:v>
                </c:pt>
                <c:pt idx="5">
                  <c:v>2215651731016.749</c:v>
                </c:pt>
                <c:pt idx="6">
                  <c:v>2874822875075.1304</c:v>
                </c:pt>
                <c:pt idx="7">
                  <c:v>2388833599290.4204</c:v>
                </c:pt>
                <c:pt idx="8">
                  <c:v>2755863000949.8091</c:v>
                </c:pt>
                <c:pt idx="9">
                  <c:v>2200807981992.771</c:v>
                </c:pt>
              </c:numCache>
            </c:numRef>
          </c:val>
          <c:extLst>
            <c:ext xmlns:c16="http://schemas.microsoft.com/office/drawing/2014/chart" uri="{C3380CC4-5D6E-409C-BE32-E72D297353CC}">
              <c16:uniqueId val="{00000000-6E9F-4316-AB9F-AF332047FE4C}"/>
            </c:ext>
          </c:extLst>
        </c:ser>
        <c:dLbls>
          <c:showLegendKey val="0"/>
          <c:showVal val="0"/>
          <c:showCatName val="0"/>
          <c:showSerName val="0"/>
          <c:showPercent val="0"/>
          <c:showBubbleSize val="0"/>
        </c:dLbls>
        <c:gapWidth val="150"/>
        <c:overlap val="100"/>
        <c:axId val="663172448"/>
        <c:axId val="663172808"/>
      </c:barChart>
      <c:catAx>
        <c:axId val="663172448"/>
        <c:scaling>
          <c:orientation val="minMax"/>
        </c:scaling>
        <c:delete val="0"/>
        <c:axPos val="b"/>
        <c:numFmt formatCode="General" sourceLinked="1"/>
        <c:majorTickMark val="none"/>
        <c:minorTickMark val="none"/>
        <c:tickLblPos val="nextTo"/>
        <c:spPr>
          <a:noFill/>
          <a:ln w="9525" cap="flat" cmpd="sng" algn="ctr">
            <a:solidFill>
              <a:schemeClr val="accent5">
                <a:shade val="95000"/>
                <a:satMod val="105000"/>
              </a:schemeClr>
            </a:solidFill>
            <a:prstDash val="solid"/>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663172808"/>
        <c:crosses val="autoZero"/>
        <c:auto val="1"/>
        <c:lblAlgn val="ctr"/>
        <c:lblOffset val="100"/>
        <c:noMultiLvlLbl val="0"/>
      </c:catAx>
      <c:valAx>
        <c:axId val="66317280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w="9525" cap="flat" cmpd="sng" algn="ctr">
            <a:solidFill>
              <a:schemeClr val="dk1">
                <a:shade val="95000"/>
                <a:satMod val="105000"/>
              </a:schemeClr>
            </a:solidFill>
            <a:prstDash val="soli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663172448"/>
        <c:crosses val="autoZero"/>
        <c:crossBetween val="between"/>
      </c:valAx>
      <c:spPr>
        <a:solidFill>
          <a:schemeClr val="tx2">
            <a:lumMod val="20000"/>
            <a:lumOff val="80000"/>
          </a:schemeClr>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75000"/>
      </a:schemeClr>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[cryptocurrencymarket.xlsx]Tables!PivotTable5</c:name>
    <c:fmtId val="12"/>
  </c:pivotSource>
  <c:chart>
    <c:title>
      <c:tx>
        <c:rich>
          <a:bodyPr rot="0" spcFirstLastPara="1" vertOverflow="ellipsis" vert="horz" wrap="square" anchor="ctr" anchorCtr="1"/>
          <a:lstStyle/>
          <a:p>
            <a:pPr>
              <a:defRPr sz="18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IN" b="0" cap="none" spc="0">
                <a:ln w="0"/>
                <a:solidFill>
                  <a:schemeClr val="accent2">
                    <a:lumMod val="50000"/>
                  </a:schemeClr>
                </a:solidFill>
                <a:effectLst>
                  <a:outerShdw blurRad="38100" dist="19050" dir="2700000" algn="tl" rotWithShape="0">
                    <a:schemeClr val="dk1">
                      <a:alpha val="40000"/>
                    </a:schemeClr>
                  </a:outerShdw>
                </a:effectLst>
              </a:rPr>
              <a:t>MARKETCAP</a:t>
            </a:r>
            <a:r>
              <a:rPr lang="en-IN" b="0" cap="none" spc="0" baseline="0">
                <a:ln w="0"/>
                <a:solidFill>
                  <a:schemeClr val="accent2">
                    <a:lumMod val="50000"/>
                  </a:schemeClr>
                </a:solidFill>
                <a:effectLst>
                  <a:outerShdw blurRad="38100" dist="19050" dir="2700000" algn="tl" rotWithShape="0">
                    <a:schemeClr val="dk1">
                      <a:alpha val="40000"/>
                    </a:schemeClr>
                  </a:outerShdw>
                </a:effectLst>
              </a:rPr>
              <a:t> BY MINING TYPE</a:t>
            </a:r>
            <a:endParaRPr lang="en-IN" b="0" cap="none" spc="0">
              <a:ln w="0"/>
              <a:solidFill>
                <a:schemeClr val="accent2">
                  <a:lumMod val="50000"/>
                </a:schemeClr>
              </a:solidFill>
              <a:effectLst>
                <a:outerShdw blurRad="38100" dist="19050" dir="2700000" algn="tl" rotWithShape="0">
                  <a:schemeClr val="dk1">
                    <a:alpha val="40000"/>
                  </a:schemeClr>
                </a:outerShdw>
              </a:effectLst>
            </a:endParaRPr>
          </a:p>
        </c:rich>
      </c:tx>
      <c:overlay val="0"/>
      <c:spPr>
        <a:solidFill>
          <a:schemeClr val="accent2">
            <a:lumMod val="60000"/>
            <a:lumOff val="40000"/>
          </a:schemeClr>
        </a:solidFill>
        <a:ln>
          <a:solidFill>
            <a:schemeClr val="accent2">
              <a:lumMod val="60000"/>
              <a:lumOff val="40000"/>
            </a:schemeClr>
          </a:solidFill>
        </a:ln>
        <a:effectLst>
          <a:glow rad="228600">
            <a:schemeClr val="accent2">
              <a:satMod val="175000"/>
              <a:alpha val="40000"/>
            </a:schemeClr>
          </a:glow>
        </a:effectLst>
      </c:spPr>
      <c:txPr>
        <a:bodyPr rot="0" spcFirstLastPara="1" vertOverflow="ellipsis" vert="horz" wrap="square" anchor="ctr" anchorCtr="1"/>
        <a:lstStyle/>
        <a:p>
          <a:pPr>
            <a:defRPr sz="18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IN"/>
        </a:p>
      </c:txPr>
    </c:title>
    <c:autoTitleDeleted val="0"/>
    <c:pivotFmts>
      <c:pivotFmt>
        <c:idx val="0"/>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circle"/>
          <c:size val="6"/>
          <c:spPr>
            <a:solidFill>
              <a:schemeClr val="accent1"/>
            </a:solidFill>
            <a:ln w="9525">
              <a:solidFill>
                <a:schemeClr val="dk1">
                  <a:lumMod val="75000"/>
                  <a:lumOff val="25000"/>
                </a:schemeClr>
              </a:solidFill>
            </a:ln>
            <a:effectLst/>
          </c:spPr>
        </c:marker>
        <c:dLbl>
          <c:idx val="0"/>
          <c:spPr>
            <a:solidFill>
              <a:srgbClr val="4F81BD">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4F81BD">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60000"/>
              <a:lumOff val="40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4F81BD">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Tables!$E$16</c:f>
              <c:strCache>
                <c:ptCount val="1"/>
                <c:pt idx="0">
                  <c:v>Total</c:v>
                </c:pt>
              </c:strCache>
            </c:strRef>
          </c:tx>
          <c:spPr>
            <a:solidFill>
              <a:schemeClr val="accent2">
                <a:lumMod val="60000"/>
                <a:lumOff val="40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dLbls>
            <c:spPr>
              <a:solidFill>
                <a:srgbClr val="4F81BD">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Tables!$D$17:$D$20</c:f>
              <c:strCache>
                <c:ptCount val="3"/>
                <c:pt idx="0">
                  <c:v>Consensus</c:v>
                </c:pt>
                <c:pt idx="1">
                  <c:v>PoS</c:v>
                </c:pt>
                <c:pt idx="2">
                  <c:v>PoW</c:v>
                </c:pt>
              </c:strCache>
            </c:strRef>
          </c:cat>
          <c:val>
            <c:numRef>
              <c:f>Tables!$E$17:$E$20</c:f>
              <c:numCache>
                <c:formatCode>General</c:formatCode>
                <c:ptCount val="3"/>
                <c:pt idx="0">
                  <c:v>49635047518652.781</c:v>
                </c:pt>
                <c:pt idx="1">
                  <c:v>267200355596314.22</c:v>
                </c:pt>
                <c:pt idx="2">
                  <c:v>127436185693205.34</c:v>
                </c:pt>
              </c:numCache>
            </c:numRef>
          </c:val>
          <c:extLst>
            <c:ext xmlns:c16="http://schemas.microsoft.com/office/drawing/2014/chart" uri="{C3380CC4-5D6E-409C-BE32-E72D297353CC}">
              <c16:uniqueId val="{00000000-90E8-4CD9-9BE2-2A49790F91FE}"/>
            </c:ext>
          </c:extLst>
        </c:ser>
        <c:dLbls>
          <c:showLegendKey val="0"/>
          <c:showVal val="1"/>
          <c:showCatName val="0"/>
          <c:showSerName val="0"/>
          <c:showPercent val="0"/>
          <c:showBubbleSize val="0"/>
        </c:dLbls>
        <c:gapWidth val="84"/>
        <c:gapDepth val="53"/>
        <c:shape val="box"/>
        <c:axId val="610681944"/>
        <c:axId val="610678344"/>
        <c:axId val="662452720"/>
      </c:bar3DChart>
      <c:catAx>
        <c:axId val="61068194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10678344"/>
        <c:crosses val="autoZero"/>
        <c:auto val="1"/>
        <c:lblAlgn val="ctr"/>
        <c:lblOffset val="100"/>
        <c:noMultiLvlLbl val="0"/>
      </c:catAx>
      <c:valAx>
        <c:axId val="610678344"/>
        <c:scaling>
          <c:orientation val="minMax"/>
        </c:scaling>
        <c:delete val="1"/>
        <c:axPos val="l"/>
        <c:majorGridlines>
          <c:spPr>
            <a:ln w="9525">
              <a:solidFill>
                <a:schemeClr val="lt1">
                  <a:lumMod val="50000"/>
                </a:schemeClr>
              </a:solidFill>
            </a:ln>
            <a:effectLst/>
          </c:spPr>
        </c:majorGridlines>
        <c:numFmt formatCode="General" sourceLinked="1"/>
        <c:majorTickMark val="out"/>
        <c:minorTickMark val="none"/>
        <c:tickLblPos val="nextTo"/>
        <c:crossAx val="610681944"/>
        <c:crosses val="autoZero"/>
        <c:crossBetween val="between"/>
      </c:valAx>
      <c:serAx>
        <c:axId val="662452720"/>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10678344"/>
        <c:crosses val="autoZero"/>
      </c:serAx>
      <c:dTable>
        <c:showHorzBorder val="1"/>
        <c:showVertBorder val="1"/>
        <c:showOutline val="1"/>
        <c:showKeys val="1"/>
        <c:spPr>
          <a:noFill/>
          <a:ln w="9525">
            <a:solidFill>
              <a:schemeClr val="dk1">
                <a:lumMod val="50000"/>
                <a:lumOff val="50000"/>
              </a:schemeClr>
            </a:solidFill>
          </a:ln>
          <a:effectLst/>
        </c:spPr>
        <c:txPr>
          <a:bodyPr rot="0" spcFirstLastPara="1" vertOverflow="ellipsis" vert="horz" wrap="square" anchor="ctr" anchorCtr="1"/>
          <a:lstStyle/>
          <a:p>
            <a:pPr rtl="0">
              <a:defRPr sz="900" b="0" i="0" u="none" strike="noStrike" kern="1200" baseline="0">
                <a:solidFill>
                  <a:schemeClr val="lt1">
                    <a:lumMod val="75000"/>
                  </a:schemeClr>
                </a:solidFill>
                <a:latin typeface="+mn-lt"/>
                <a:ea typeface="+mn-ea"/>
                <a:cs typeface="+mn-cs"/>
              </a:defRPr>
            </a:pPr>
            <a:endParaRPr lang="en-US"/>
          </a:p>
        </c:txPr>
      </c:dTable>
      <c:spPr>
        <a:solidFill>
          <a:schemeClr val="accent2">
            <a:lumMod val="50000"/>
          </a:schemeClr>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7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[cryptocurrencymarket.xlsx]Tables!PivotTable6</c:name>
    <c:fmtId val="1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DEVELOPER</a:t>
            </a:r>
            <a:r>
              <a:rPr lang="en-US" baseline="0"/>
              <a:t>ACTIVITY BY CRYPTOCURRENCY</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solidFill>
            <a:schemeClr val="accent1">
              <a:lumMod val="75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lumMod val="75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75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Tables!$B$17</c:f>
              <c:strCache>
                <c:ptCount val="1"/>
                <c:pt idx="0">
                  <c:v>Total</c:v>
                </c:pt>
              </c:strCache>
            </c:strRef>
          </c:tx>
          <c:spPr>
            <a:solidFill>
              <a:schemeClr val="accent1">
                <a:lumMod val="75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Tables!$A$18:$A$28</c:f>
              <c:strCache>
                <c:ptCount val="10"/>
                <c:pt idx="0">
                  <c:v>Avalanche</c:v>
                </c:pt>
                <c:pt idx="1">
                  <c:v>Binance Coin</c:v>
                </c:pt>
                <c:pt idx="2">
                  <c:v>Bitcoin</c:v>
                </c:pt>
                <c:pt idx="3">
                  <c:v>Cardano</c:v>
                </c:pt>
                <c:pt idx="4">
                  <c:v>Dogecoin</c:v>
                </c:pt>
                <c:pt idx="5">
                  <c:v>Ethereum</c:v>
                </c:pt>
                <c:pt idx="6">
                  <c:v>Litecoin</c:v>
                </c:pt>
                <c:pt idx="7">
                  <c:v>Polkadot</c:v>
                </c:pt>
                <c:pt idx="8">
                  <c:v>Ripple</c:v>
                </c:pt>
                <c:pt idx="9">
                  <c:v>Solana</c:v>
                </c:pt>
              </c:strCache>
            </c:strRef>
          </c:cat>
          <c:val>
            <c:numRef>
              <c:f>Tables!$B$18:$B$28</c:f>
              <c:numCache>
                <c:formatCode>General</c:formatCode>
                <c:ptCount val="10"/>
                <c:pt idx="0">
                  <c:v>6612.94</c:v>
                </c:pt>
                <c:pt idx="1">
                  <c:v>5705.6100000000015</c:v>
                </c:pt>
                <c:pt idx="2">
                  <c:v>4926.09</c:v>
                </c:pt>
                <c:pt idx="3">
                  <c:v>5898.9300000000012</c:v>
                </c:pt>
                <c:pt idx="4">
                  <c:v>5450.1299999999992</c:v>
                </c:pt>
                <c:pt idx="5">
                  <c:v>5209.46</c:v>
                </c:pt>
                <c:pt idx="6">
                  <c:v>6447.0000000000009</c:v>
                </c:pt>
                <c:pt idx="7">
                  <c:v>4750.0899999999983</c:v>
                </c:pt>
                <c:pt idx="8">
                  <c:v>5564.0200000000013</c:v>
                </c:pt>
                <c:pt idx="9">
                  <c:v>4668.2300000000005</c:v>
                </c:pt>
              </c:numCache>
            </c:numRef>
          </c:val>
          <c:extLst>
            <c:ext xmlns:c16="http://schemas.microsoft.com/office/drawing/2014/chart" uri="{C3380CC4-5D6E-409C-BE32-E72D297353CC}">
              <c16:uniqueId val="{00000000-3361-47F1-BA71-C10A821791FF}"/>
            </c:ext>
          </c:extLst>
        </c:ser>
        <c:dLbls>
          <c:showLegendKey val="0"/>
          <c:showVal val="0"/>
          <c:showCatName val="0"/>
          <c:showSerName val="0"/>
          <c:showPercent val="0"/>
          <c:showBubbleSize val="0"/>
        </c:dLbls>
        <c:gapWidth val="150"/>
        <c:axId val="675821656"/>
        <c:axId val="675822376"/>
      </c:barChart>
      <c:catAx>
        <c:axId val="67582165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75822376"/>
        <c:crosses val="autoZero"/>
        <c:auto val="1"/>
        <c:lblAlgn val="ctr"/>
        <c:lblOffset val="100"/>
        <c:noMultiLvlLbl val="0"/>
      </c:catAx>
      <c:valAx>
        <c:axId val="67582237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758216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75000"/>
      </a:schemeClr>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5">
  <a:schemeClr val="accent2"/>
</cs:colorStyle>
</file>

<file path=xl/charts/colors3.xml><?xml version="1.0" encoding="utf-8"?>
<cs:colorStyle xmlns:cs="http://schemas.microsoft.com/office/drawing/2012/chartStyle" xmlns:a="http://schemas.openxmlformats.org/drawingml/2006/main" meth="withinLinear" id="15">
  <a:schemeClr val="accent2"/>
</cs:colorStyle>
</file>

<file path=xl/charts/colors4.xml><?xml version="1.0" encoding="utf-8"?>
<cs:colorStyle xmlns:cs="http://schemas.microsoft.com/office/drawing/2012/chartStyle" xmlns:a="http://schemas.openxmlformats.org/drawingml/2006/main" meth="withinLinear" id="14">
  <a:schemeClr val="accent1"/>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95">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lumMod val="20000"/>
          <a:lumOff val="80000"/>
        </a:schemeClr>
      </a:solidFill>
    </cs:spPr>
  </cs:dataPoint>
  <cs:dataPoint3D>
    <cs:lnRef idx="0"/>
    <cs:fillRef idx="0">
      <cs:styleClr val="auto"/>
    </cs:fillRef>
    <cs:effectRef idx="0"/>
    <cs:fontRef idx="minor">
      <a:schemeClr val="dk1"/>
    </cs:fontRef>
    <cs:spPr>
      <a:solidFill>
        <a:schemeClr val="phClr">
          <a:lumMod val="20000"/>
          <a:lumOff val="80000"/>
        </a:schemeClr>
      </a:solidFill>
      <a:sp3d/>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styleClr val="0"/>
    </cs:fillRef>
    <cs:effectRef idx="0"/>
    <cs:fontRef idx="minor">
      <a:schemeClr val="dk1"/>
    </cs:fontRef>
    <cs:spPr>
      <a:solidFill>
        <a:schemeClr val="phClr">
          <a:alpha val="30000"/>
        </a:schemeClr>
      </a:solidFill>
      <a:sp3d/>
    </cs:spPr>
  </cs:floor>
  <cs:gridlineMajor>
    <cs:lnRef idx="0">
      <cs:styleClr val="0"/>
    </cs:lnRef>
    <cs:fillRef idx="0"/>
    <cs:effectRef idx="0"/>
    <cs:fontRef idx="minor">
      <a:schemeClr val="dk1"/>
    </cs:fontRef>
    <cs:spPr>
      <a:ln w="9525" cap="flat" cmpd="sng" algn="ctr">
        <a:solidFill>
          <a:schemeClr val="lt1">
            <a:lumMod val="60000"/>
            <a:lumOff val="40000"/>
          </a:schemeClr>
        </a:solidFill>
        <a:round/>
      </a:ln>
    </cs:spPr>
  </cs:gridlineMajor>
  <cs:gridlineMinor>
    <cs:lnRef idx="0">
      <cs:styleClr val="0"/>
    </cs:lnRef>
    <cs:fillRef idx="0"/>
    <cs:effectRef idx="0"/>
    <cs:fontRef idx="minor">
      <a:schemeClr val="dk1"/>
    </cs:fontRef>
    <cs:spPr>
      <a:ln>
        <a:solidFill>
          <a:schemeClr val="lt1">
            <a:lumMod val="50000"/>
            <a:lumOff val="5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63">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styleClr val="auto"/>
    </cs:lnRef>
    <cs:fillRef idx="0"/>
    <cs:effectRef idx="0">
      <cs:styleClr val="auto"/>
    </cs:effectRef>
    <cs:fontRef idx="minor">
      <cs:styleClr val="auto"/>
    </cs:fontRef>
    <cs:spPr>
      <a:solidFill>
        <a:schemeClr val="lt1">
          <a:alpha val="90000"/>
        </a:schemeClr>
      </a:solidFill>
      <a:ln w="12700" cap="flat" cmpd="sng" algn="ctr">
        <a:solidFill>
          <a:schemeClr val="phClr"/>
        </a:solidFill>
        <a:round/>
      </a:ln>
      <a:effectLst>
        <a:outerShdw blurRad="50800" dist="38100" dir="2700000" algn="tl" rotWithShape="0">
          <a:schemeClr val="phClr">
            <a:lumMod val="75000"/>
            <a:alpha val="40000"/>
          </a:schemeClr>
        </a:outerShdw>
      </a:effectLst>
    </cs:spPr>
    <cs:defRPr sz="1000" b="0" i="0" u="none" strike="noStrike" kern="1200" baseline="0">
      <a:effectLst/>
    </cs:defRPr>
    <cs:bodyPr rot="0" spcFirstLastPara="1" vertOverflow="clip" horzOverflow="clip" vert="horz" wrap="square" lIns="38100" tIns="19050" rIns="38100" bIns="19050" anchor="ctr" anchorCtr="1">
      <a:spAutoFit/>
    </cs:bodyPr>
  </cs:dataLabel>
  <cs:dataLabelCallout>
    <cs:lnRef idx="0">
      <cs:styleClr val="auto"/>
    </cs:lnRef>
    <cs:fillRef idx="0"/>
    <cs:effectRef idx="0">
      <cs:styleClr val="auto"/>
    </cs:effectRef>
    <cs:fontRef idx="minor">
      <cs:styleClr val="auto"/>
    </cs:fontRef>
    <cs:spPr>
      <a:solidFill>
        <a:schemeClr val="lt1">
          <a:alpha val="90000"/>
        </a:schemeClr>
      </a:solidFill>
      <a:ln w="12700" cap="flat" cmpd="sng" algn="ctr">
        <a:solidFill>
          <a:schemeClr val="phClr"/>
        </a:solidFill>
        <a:round/>
      </a:ln>
      <a:effectLst>
        <a:outerShdw blurRad="50800" dist="38100" dir="2700000" algn="tl" rotWithShape="0">
          <a:schemeClr val="phClr">
            <a:lumMod val="75000"/>
            <a:alpha val="40000"/>
          </a:schemeClr>
        </a:outerShdw>
      </a:effectLst>
    </cs:spPr>
    <cs:defRPr sz="1000" b="0" i="0" u="none" strike="noStrike" kern="1200" baseline="0">
      <a:effectLst/>
    </cs:defRPr>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alpha val="70000"/>
        </a:schemeClr>
      </a:solidFill>
    </cs:spPr>
  </cs:dataPoint>
  <cs:dataPoint3D>
    <cs:lnRef idx="0">
      <cs:styleClr val="auto"/>
    </cs:lnRef>
    <cs:fillRef idx="0">
      <cs:styleClr val="auto"/>
    </cs:fillRef>
    <cs:effectRef idx="0">
      <cs:styleClr val="auto"/>
    </cs:effectRef>
    <cs:fontRef idx="minor">
      <a:schemeClr val="tx1"/>
    </cs:fontRef>
    <cs:spPr>
      <a:solidFill>
        <a:schemeClr val="phClr">
          <a:alpha val="90000"/>
        </a:schemeClr>
      </a:solidFill>
      <a:ln w="19050">
        <a:solidFill>
          <a:schemeClr val="phClr">
            <a:lumMod val="75000"/>
          </a:schemeClr>
        </a:solidFill>
      </a:ln>
      <a:effectLst>
        <a:innerShdw blurRad="114300">
          <a:schemeClr val="phClr">
            <a:lumMod val="75000"/>
          </a:schemeClr>
        </a:innerShdw>
      </a:effectLst>
      <a:scene3d>
        <a:camera prst="orthographicFront"/>
        <a:lightRig rig="threePt" dir="t"/>
      </a:scene3d>
      <a:sp3d contourW="19050" prstMaterial="flat">
        <a:contourClr>
          <a:schemeClr val="accent4">
            <a:lumMod val="75000"/>
          </a:schemeClr>
        </a:contourClr>
      </a:sp3d>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6.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13</xdr:row>
      <xdr:rowOff>7398</xdr:rowOff>
    </xdr:from>
    <xdr:to>
      <xdr:col>7</xdr:col>
      <xdr:colOff>304800</xdr:colOff>
      <xdr:row>28</xdr:row>
      <xdr:rowOff>7398</xdr:rowOff>
    </xdr:to>
    <xdr:graphicFrame macro="">
      <xdr:nvGraphicFramePr>
        <xdr:cNvPr id="5" name="Chart 4">
          <a:extLst>
            <a:ext uri="{FF2B5EF4-FFF2-40B4-BE49-F238E27FC236}">
              <a16:creationId xmlns:a16="http://schemas.microsoft.com/office/drawing/2014/main" id="{0FB9C4FB-72A2-49FD-8C4D-BFFA509E4A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312642</xdr:colOff>
      <xdr:row>12</xdr:row>
      <xdr:rowOff>182658</xdr:rowOff>
    </xdr:from>
    <xdr:to>
      <xdr:col>15</xdr:col>
      <xdr:colOff>229339</xdr:colOff>
      <xdr:row>27</xdr:row>
      <xdr:rowOff>184951</xdr:rowOff>
    </xdr:to>
    <xdr:graphicFrame macro="">
      <xdr:nvGraphicFramePr>
        <xdr:cNvPr id="6" name="Chart 5">
          <a:extLst>
            <a:ext uri="{FF2B5EF4-FFF2-40B4-BE49-F238E27FC236}">
              <a16:creationId xmlns:a16="http://schemas.microsoft.com/office/drawing/2014/main" id="{CD51AE8A-0F91-4ED8-AE32-B83780730F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229339</xdr:colOff>
      <xdr:row>12</xdr:row>
      <xdr:rowOff>169334</xdr:rowOff>
    </xdr:from>
    <xdr:to>
      <xdr:col>23</xdr:col>
      <xdr:colOff>7055</xdr:colOff>
      <xdr:row>28</xdr:row>
      <xdr:rowOff>0</xdr:rowOff>
    </xdr:to>
    <xdr:graphicFrame macro="">
      <xdr:nvGraphicFramePr>
        <xdr:cNvPr id="7" name="Chart 6">
          <a:extLst>
            <a:ext uri="{FF2B5EF4-FFF2-40B4-BE49-F238E27FC236}">
              <a16:creationId xmlns:a16="http://schemas.microsoft.com/office/drawing/2014/main" id="{E18C3289-B48A-41A8-A655-D1844B4564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27</xdr:row>
      <xdr:rowOff>172820</xdr:rowOff>
    </xdr:from>
    <xdr:to>
      <xdr:col>7</xdr:col>
      <xdr:colOff>304800</xdr:colOff>
      <xdr:row>42</xdr:row>
      <xdr:rowOff>172820</xdr:rowOff>
    </xdr:to>
    <xdr:graphicFrame macro="">
      <xdr:nvGraphicFramePr>
        <xdr:cNvPr id="8" name="Chart 7">
          <a:extLst>
            <a:ext uri="{FF2B5EF4-FFF2-40B4-BE49-F238E27FC236}">
              <a16:creationId xmlns:a16="http://schemas.microsoft.com/office/drawing/2014/main" id="{800CD0AC-CB5B-4ABF-A25F-591D0FCF16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295924</xdr:colOff>
      <xdr:row>28</xdr:row>
      <xdr:rowOff>7842</xdr:rowOff>
    </xdr:from>
    <xdr:to>
      <xdr:col>15</xdr:col>
      <xdr:colOff>236739</xdr:colOff>
      <xdr:row>43</xdr:row>
      <xdr:rowOff>7842</xdr:rowOff>
    </xdr:to>
    <xdr:graphicFrame macro="">
      <xdr:nvGraphicFramePr>
        <xdr:cNvPr id="9" name="Chart 8">
          <a:extLst>
            <a:ext uri="{FF2B5EF4-FFF2-40B4-BE49-F238E27FC236}">
              <a16:creationId xmlns:a16="http://schemas.microsoft.com/office/drawing/2014/main" id="{BF0DD69E-9D9B-4C96-A9D1-F8EC32E773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236739</xdr:colOff>
      <xdr:row>28</xdr:row>
      <xdr:rowOff>7398</xdr:rowOff>
    </xdr:from>
    <xdr:to>
      <xdr:col>23</xdr:col>
      <xdr:colOff>0</xdr:colOff>
      <xdr:row>43</xdr:row>
      <xdr:rowOff>29171</xdr:rowOff>
    </xdr:to>
    <xdr:graphicFrame macro="">
      <xdr:nvGraphicFramePr>
        <xdr:cNvPr id="10" name="Chart 9">
          <a:extLst>
            <a:ext uri="{FF2B5EF4-FFF2-40B4-BE49-F238E27FC236}">
              <a16:creationId xmlns:a16="http://schemas.microsoft.com/office/drawing/2014/main" id="{38FD9DD5-A2FB-4604-B7BE-568CDD4636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12</xdr:col>
      <xdr:colOff>115335</xdr:colOff>
      <xdr:row>2</xdr:row>
      <xdr:rowOff>1</xdr:rowOff>
    </xdr:from>
    <xdr:to>
      <xdr:col>15</xdr:col>
      <xdr:colOff>236737</xdr:colOff>
      <xdr:row>12</xdr:row>
      <xdr:rowOff>177554</xdr:rowOff>
    </xdr:to>
    <mc:AlternateContent xmlns:mc="http://schemas.openxmlformats.org/markup-compatibility/2006" xmlns:a14="http://schemas.microsoft.com/office/drawing/2010/main">
      <mc:Choice Requires="a14">
        <xdr:graphicFrame macro="">
          <xdr:nvGraphicFramePr>
            <xdr:cNvPr id="11" name="Crypto_Name">
              <a:extLst>
                <a:ext uri="{FF2B5EF4-FFF2-40B4-BE49-F238E27FC236}">
                  <a16:creationId xmlns:a16="http://schemas.microsoft.com/office/drawing/2014/main" id="{10F82F7D-62AC-F8FC-43B0-3C83A73F3837}"/>
                </a:ext>
              </a:extLst>
            </xdr:cNvPr>
            <xdr:cNvGraphicFramePr/>
          </xdr:nvGraphicFramePr>
          <xdr:xfrm>
            <a:off x="0" y="0"/>
            <a:ext cx="0" cy="0"/>
          </xdr:xfrm>
          <a:graphic>
            <a:graphicData uri="http://schemas.microsoft.com/office/drawing/2010/slicer">
              <sle:slicer xmlns:sle="http://schemas.microsoft.com/office/drawing/2010/slicer" name="Crypto_Name"/>
            </a:graphicData>
          </a:graphic>
        </xdr:graphicFrame>
      </mc:Choice>
      <mc:Fallback xmlns="">
        <xdr:sp macro="" textlink="">
          <xdr:nvSpPr>
            <xdr:cNvPr id="0" name=""/>
            <xdr:cNvSpPr>
              <a:spLocks noTextEdit="1"/>
            </xdr:cNvSpPr>
          </xdr:nvSpPr>
          <xdr:spPr>
            <a:xfrm>
              <a:off x="7448642" y="362140"/>
              <a:ext cx="1954729" cy="198824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10947</xdr:colOff>
      <xdr:row>1</xdr:row>
      <xdr:rowOff>172152</xdr:rowOff>
    </xdr:from>
    <xdr:to>
      <xdr:col>12</xdr:col>
      <xdr:colOff>118369</xdr:colOff>
      <xdr:row>13</xdr:row>
      <xdr:rowOff>14796</xdr:rowOff>
    </xdr:to>
    <mc:AlternateContent xmlns:mc="http://schemas.openxmlformats.org/markup-compatibility/2006" xmlns:a14="http://schemas.microsoft.com/office/drawing/2010/main">
      <mc:Choice Requires="a14">
        <xdr:graphicFrame macro="">
          <xdr:nvGraphicFramePr>
            <xdr:cNvPr id="12" name="Category">
              <a:extLst>
                <a:ext uri="{FF2B5EF4-FFF2-40B4-BE49-F238E27FC236}">
                  <a16:creationId xmlns:a16="http://schemas.microsoft.com/office/drawing/2014/main" id="{9EE6A410-7538-F385-E5E2-72D425B0AFB0}"/>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5510927" y="353221"/>
              <a:ext cx="1940749" cy="201547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4</xdr:row>
      <xdr:rowOff>1184</xdr:rowOff>
    </xdr:from>
    <xdr:to>
      <xdr:col>3</xdr:col>
      <xdr:colOff>7398</xdr:colOff>
      <xdr:row>13</xdr:row>
      <xdr:rowOff>36990</xdr:rowOff>
    </xdr:to>
    <mc:AlternateContent xmlns:mc="http://schemas.openxmlformats.org/markup-compatibility/2006" xmlns:a14="http://schemas.microsoft.com/office/drawing/2010/main">
      <mc:Choice Requires="a14">
        <xdr:graphicFrame macro="">
          <xdr:nvGraphicFramePr>
            <xdr:cNvPr id="13" name="Exchange">
              <a:extLst>
                <a:ext uri="{FF2B5EF4-FFF2-40B4-BE49-F238E27FC236}">
                  <a16:creationId xmlns:a16="http://schemas.microsoft.com/office/drawing/2014/main" id="{879DB54D-A040-B071-9809-2F5CDE5B6D00}"/>
                </a:ext>
              </a:extLst>
            </xdr:cNvPr>
            <xdr:cNvGraphicFramePr/>
          </xdr:nvGraphicFramePr>
          <xdr:xfrm>
            <a:off x="0" y="0"/>
            <a:ext cx="0" cy="0"/>
          </xdr:xfrm>
          <a:graphic>
            <a:graphicData uri="http://schemas.microsoft.com/office/drawing/2010/slicer">
              <sle:slicer xmlns:sle="http://schemas.microsoft.com/office/drawing/2010/slicer" name="Exchange"/>
            </a:graphicData>
          </a:graphic>
        </xdr:graphicFrame>
      </mc:Choice>
      <mc:Fallback xmlns="">
        <xdr:sp macro="" textlink="">
          <xdr:nvSpPr>
            <xdr:cNvPr id="0" name=""/>
            <xdr:cNvSpPr>
              <a:spLocks noTextEdit="1"/>
            </xdr:cNvSpPr>
          </xdr:nvSpPr>
          <xdr:spPr>
            <a:xfrm>
              <a:off x="0" y="725461"/>
              <a:ext cx="1840725" cy="166543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593767</xdr:colOff>
      <xdr:row>3</xdr:row>
      <xdr:rowOff>177926</xdr:rowOff>
    </xdr:from>
    <xdr:to>
      <xdr:col>6</xdr:col>
      <xdr:colOff>0</xdr:colOff>
      <xdr:row>13</xdr:row>
      <xdr:rowOff>29592</xdr:rowOff>
    </xdr:to>
    <mc:AlternateContent xmlns:mc="http://schemas.openxmlformats.org/markup-compatibility/2006" xmlns:a14="http://schemas.microsoft.com/office/drawing/2010/main">
      <mc:Choice Requires="a14">
        <xdr:graphicFrame macro="">
          <xdr:nvGraphicFramePr>
            <xdr:cNvPr id="14" name="Country">
              <a:extLst>
                <a:ext uri="{FF2B5EF4-FFF2-40B4-BE49-F238E27FC236}">
                  <a16:creationId xmlns:a16="http://schemas.microsoft.com/office/drawing/2014/main" id="{E126A6E6-D0B4-E52C-4EA4-7A6C63BD6133}"/>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1815985" y="721134"/>
              <a:ext cx="1850668" cy="16623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1109</xdr:colOff>
      <xdr:row>3</xdr:row>
      <xdr:rowOff>184508</xdr:rowOff>
    </xdr:from>
    <xdr:to>
      <xdr:col>9</xdr:col>
      <xdr:colOff>7398</xdr:colOff>
      <xdr:row>13</xdr:row>
      <xdr:rowOff>22194</xdr:rowOff>
    </xdr:to>
    <mc:AlternateContent xmlns:mc="http://schemas.openxmlformats.org/markup-compatibility/2006" xmlns:a14="http://schemas.microsoft.com/office/drawing/2010/main">
      <mc:Choice Requires="a14">
        <xdr:graphicFrame macro="">
          <xdr:nvGraphicFramePr>
            <xdr:cNvPr id="15" name="Launch_Year">
              <a:extLst>
                <a:ext uri="{FF2B5EF4-FFF2-40B4-BE49-F238E27FC236}">
                  <a16:creationId xmlns:a16="http://schemas.microsoft.com/office/drawing/2014/main" id="{DFDE7D2D-C2AF-F26A-42EB-9F51784B1176}"/>
                </a:ext>
              </a:extLst>
            </xdr:cNvPr>
            <xdr:cNvGraphicFramePr/>
          </xdr:nvGraphicFramePr>
          <xdr:xfrm>
            <a:off x="0" y="0"/>
            <a:ext cx="0" cy="0"/>
          </xdr:xfrm>
          <a:graphic>
            <a:graphicData uri="http://schemas.microsoft.com/office/drawing/2010/slicer">
              <sle:slicer xmlns:sle="http://schemas.microsoft.com/office/drawing/2010/slicer" name="Launch_Year"/>
            </a:graphicData>
          </a:graphic>
        </xdr:graphicFrame>
      </mc:Choice>
      <mc:Fallback xmlns="">
        <xdr:sp macro="" textlink="">
          <xdr:nvSpPr>
            <xdr:cNvPr id="0" name=""/>
            <xdr:cNvSpPr>
              <a:spLocks noTextEdit="1"/>
            </xdr:cNvSpPr>
          </xdr:nvSpPr>
          <xdr:spPr>
            <a:xfrm>
              <a:off x="3667762" y="727716"/>
              <a:ext cx="1839616" cy="16483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223659</xdr:colOff>
      <xdr:row>1</xdr:row>
      <xdr:rowOff>181329</xdr:rowOff>
    </xdr:from>
    <xdr:to>
      <xdr:col>23</xdr:col>
      <xdr:colOff>0</xdr:colOff>
      <xdr:row>12</xdr:row>
      <xdr:rowOff>169334</xdr:rowOff>
    </xdr:to>
    <xdr:sp macro="" textlink="">
      <xdr:nvSpPr>
        <xdr:cNvPr id="17" name="TextBox 16">
          <a:extLst>
            <a:ext uri="{FF2B5EF4-FFF2-40B4-BE49-F238E27FC236}">
              <a16:creationId xmlns:a16="http://schemas.microsoft.com/office/drawing/2014/main" id="{18775995-F523-746F-2550-BF2F597E2B3F}"/>
            </a:ext>
          </a:extLst>
        </xdr:cNvPr>
        <xdr:cNvSpPr txBox="1"/>
      </xdr:nvSpPr>
      <xdr:spPr>
        <a:xfrm>
          <a:off x="9325326" y="364773"/>
          <a:ext cx="4630563" cy="2005894"/>
        </a:xfrm>
        <a:prstGeom prst="rect">
          <a:avLst/>
        </a:prstGeom>
        <a:solidFill>
          <a:schemeClr val="accent2">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                                                      </a:t>
          </a:r>
          <a:r>
            <a:rPr lang="en-IN" sz="1400" b="1">
              <a:solidFill>
                <a:srgbClr val="002060"/>
              </a:solidFill>
              <a:latin typeface="Arial Rounded MT Bold" panose="020F0704030504030204" pitchFamily="34" charset="0"/>
            </a:rPr>
            <a:t> INSIGHTS</a:t>
          </a:r>
        </a:p>
        <a:p>
          <a:r>
            <a:rPr lang="en-IN" sz="1100">
              <a:solidFill>
                <a:schemeClr val="tx2"/>
              </a:solidFill>
            </a:rPr>
            <a:t>Bitcoin holds the largest market capitalization, indicating its dominance in the cryptocurrency market.</a:t>
          </a:r>
        </a:p>
        <a:p>
          <a:r>
            <a:rPr lang="en-IN" sz="1100">
              <a:solidFill>
                <a:schemeClr val="tx2"/>
              </a:solidFill>
            </a:rPr>
            <a:t>• Layer-1 blockchain projects account for the highest market share, showing strong adoption of foundational blockchain networks.</a:t>
          </a:r>
        </a:p>
        <a:p>
          <a:r>
            <a:rPr lang="en-IN" sz="1100">
              <a:solidFill>
                <a:schemeClr val="tx2"/>
              </a:solidFill>
            </a:rPr>
            <a:t>• Trading volume is heavily concentrated in top cryptocurrencies, meaning a few major coins drive most of the market activity.</a:t>
          </a:r>
        </a:p>
        <a:p>
          <a:r>
            <a:rPr lang="en-IN" sz="1100">
              <a:solidFill>
                <a:schemeClr val="tx2"/>
              </a:solidFill>
            </a:rPr>
            <a:t>• Price trends show noticeable fluctuations throughout the year, highlighting the volatile nature of cryptocurrency markets.</a:t>
          </a:r>
        </a:p>
        <a:p>
          <a:r>
            <a:rPr lang="en-IN" sz="1100">
              <a:solidFill>
                <a:schemeClr val="tx2"/>
              </a:solidFill>
            </a:rPr>
            <a:t>• Proof-of-Stake (PoS) and Proof-of-Work (PoW) mining types contribute the majority of market capitalization.</a:t>
          </a:r>
        </a:p>
        <a:p>
          <a:endParaRPr lang="en-IN"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097.253550925925" createdVersion="8" refreshedVersion="8" minRefreshableVersion="3" recordCount="1000" xr:uid="{5FD2709A-8197-42AF-BBAD-911D9FF4E7E5}">
  <cacheSource type="worksheet">
    <worksheetSource name="Crypto_Data"/>
  </cacheSource>
  <cacheFields count="25">
    <cacheField name="Date" numFmtId="0">
      <sharedItems/>
    </cacheField>
    <cacheField name="Month" numFmtId="0">
      <sharedItems count="12">
        <s v="Jul"/>
        <s v="Feb"/>
        <s v="Jan"/>
        <s v="Nov"/>
        <s v="Dec"/>
        <s v="Aug"/>
        <s v="May"/>
        <s v="Jun"/>
        <s v="Apr"/>
        <s v="Mar"/>
        <s v="Oct"/>
        <s v="Sep"/>
      </sharedItems>
    </cacheField>
    <cacheField name="Crypto_Name" numFmtId="0">
      <sharedItems count="10">
        <s v="Litecoin"/>
        <s v="Binance Coin"/>
        <s v="Cardano"/>
        <s v="Solana"/>
        <s v="Polkadot"/>
        <s v="Ripple"/>
        <s v="Dogecoin"/>
        <s v="Avalanche"/>
        <s v="Ethereum"/>
        <s v="Bitcoin"/>
      </sharedItems>
    </cacheField>
    <cacheField name="Symbol" numFmtId="0">
      <sharedItems/>
    </cacheField>
    <cacheField name="Market_Cap_USD" numFmtId="0">
      <sharedItems containsSemiMixedTypes="0" containsString="0" containsNumber="1" minValue="2684203220.3099999" maxValue="897668121703.96997"/>
    </cacheField>
    <cacheField name="Price_USD" numFmtId="0">
      <sharedItems containsSemiMixedTypes="0" containsString="0" containsNumber="1" minValue="34.75" maxValue="69690.94"/>
    </cacheField>
    <cacheField name="Volume_24h_USD" numFmtId="0">
      <sharedItems containsSemiMixedTypes="0" containsString="0" containsNumber="1" minValue="78360976.450000003" maxValue="49896157658.519997"/>
    </cacheField>
    <cacheField name="Circulating_Supply" numFmtId="0">
      <sharedItems containsSemiMixedTypes="0" containsString="0" containsNumber="1" containsInteger="1" minValue="1017282" maxValue="18968542"/>
    </cacheField>
    <cacheField name="Total_Supply" numFmtId="0">
      <sharedItems containsSemiMixedTypes="0" containsString="0" containsNumber="1" containsInteger="1" minValue="1319401" maxValue="23693679"/>
    </cacheField>
    <cacheField name="Max_Supply" numFmtId="0">
      <sharedItems containsSemiMixedTypes="0" containsString="0" containsNumber="1" containsInteger="1" minValue="1529177" maxValue="23988070"/>
    </cacheField>
    <cacheField name="Market_Dominance_%" numFmtId="0">
      <sharedItems containsSemiMixedTypes="0" containsString="0" containsNumber="1" minValue="0.06" maxValue="59.94"/>
    </cacheField>
    <cacheField name="Change_1h_%" numFmtId="0">
      <sharedItems containsSemiMixedTypes="0" containsString="0" containsNumber="1" minValue="-4.99" maxValue="4.9800000000000004"/>
    </cacheField>
    <cacheField name="Change_24h_%" numFmtId="0">
      <sharedItems containsSemiMixedTypes="0" containsString="0" containsNumber="1" minValue="-19.989999999999998" maxValue="19.95"/>
    </cacheField>
    <cacheField name="Change_7d_%" numFmtId="0">
      <sharedItems containsSemiMixedTypes="0" containsString="0" containsNumber="1" minValue="-39.86" maxValue="39.99"/>
    </cacheField>
    <cacheField name="Rank" numFmtId="0">
      <sharedItems containsSemiMixedTypes="0" containsString="0" containsNumber="1" containsInteger="1" minValue="1" maxValue="200"/>
    </cacheField>
    <cacheField name="Category" numFmtId="0">
      <sharedItems count="5">
        <s v="Smart Contract"/>
        <s v="Payment"/>
        <s v="DeFi"/>
        <s v="Meme"/>
        <s v="Layer1"/>
      </sharedItems>
    </cacheField>
    <cacheField name="Exchange" numFmtId="0">
      <sharedItems count="5">
        <s v="Kraken"/>
        <s v="Binance"/>
        <s v="KuCoin"/>
        <s v="Coinbase"/>
        <s v="Bybit"/>
      </sharedItems>
    </cacheField>
    <cacheField name="Country" numFmtId="0">
      <sharedItems count="5">
        <s v="Germany"/>
        <s v="UK"/>
        <s v="Singapore"/>
        <s v="Japan"/>
        <s v="USA"/>
      </sharedItems>
    </cacheField>
    <cacheField name="Launch_Year" numFmtId="0">
      <sharedItems containsSemiMixedTypes="0" containsString="0" containsNumber="1" containsInteger="1" minValue="2010" maxValue="2023" count="14">
        <n v="2014"/>
        <n v="2016"/>
        <n v="2021"/>
        <n v="2018"/>
        <n v="2011"/>
        <n v="2012"/>
        <n v="2015"/>
        <n v="2017"/>
        <n v="2013"/>
        <n v="2023"/>
        <n v="2022"/>
        <n v="2010"/>
        <n v="2020"/>
        <n v="2019"/>
      </sharedItems>
    </cacheField>
    <cacheField name="Mining_Type" numFmtId="0">
      <sharedItems count="3">
        <s v="PoW"/>
        <s v="PoS"/>
        <s v="Consensus"/>
      </sharedItems>
    </cacheField>
    <cacheField name="Transaction_Speed_TPS" numFmtId="0">
      <sharedItems containsSemiMixedTypes="0" containsString="0" containsNumber="1" containsInteger="1" minValue="57" maxValue="64975"/>
    </cacheField>
    <cacheField name="Energy_Usage_Index" numFmtId="0">
      <sharedItems containsSemiMixedTypes="0" containsString="0" containsNumber="1" minValue="10.039999999999999" maxValue="99.93"/>
    </cacheField>
    <cacheField name="Adoption_Score" numFmtId="0">
      <sharedItems containsSemiMixedTypes="0" containsString="0" containsNumber="1" minValue="20.059999999999999" maxValue="99.98"/>
    </cacheField>
    <cacheField name="Developer_Activity" numFmtId="0">
      <sharedItems containsSemiMixedTypes="0" containsString="0" containsNumber="1" minValue="10.029999999999999" maxValue="99.74"/>
    </cacheField>
    <cacheField name="Community_Score" numFmtId="0">
      <sharedItems containsSemiMixedTypes="0" containsString="0" containsNumber="1" minValue="10.24" maxValue="100"/>
    </cacheField>
  </cacheFields>
  <extLst>
    <ext xmlns:x14="http://schemas.microsoft.com/office/spreadsheetml/2009/9/main" uri="{725AE2AE-9491-48be-B2B4-4EB974FC3084}">
      <x14:pivotCacheDefinition pivotCacheId="145831846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2024-07-18"/>
    <x v="0"/>
    <x v="0"/>
    <s v="LTC"/>
    <n v="146944250142.57999"/>
    <n v="3872.31"/>
    <n v="1316693398.7"/>
    <n v="4803783"/>
    <n v="7433015"/>
    <n v="7898191"/>
    <n v="44.62"/>
    <n v="2.35"/>
    <n v="-18.940000000000001"/>
    <n v="-33.35"/>
    <n v="76"/>
    <x v="0"/>
    <x v="0"/>
    <x v="0"/>
    <x v="0"/>
    <x v="0"/>
    <n v="7321"/>
    <n v="29.86"/>
    <n v="90.31"/>
    <n v="95.39"/>
    <n v="73.39"/>
  </r>
  <r>
    <s v="2024-02-09"/>
    <x v="1"/>
    <x v="1"/>
    <s v="BNB"/>
    <n v="734396527736.44995"/>
    <n v="18568.8"/>
    <n v="32028072218.759998"/>
    <n v="17397006"/>
    <n v="21365698"/>
    <n v="21899790"/>
    <n v="56.58"/>
    <n v="2.83"/>
    <n v="-3.14"/>
    <n v="-18.170000000000002"/>
    <n v="123"/>
    <x v="0"/>
    <x v="1"/>
    <x v="1"/>
    <x v="1"/>
    <x v="1"/>
    <n v="17792"/>
    <n v="46.8"/>
    <n v="66.88"/>
    <n v="67.33"/>
    <n v="66.8"/>
  </r>
  <r>
    <s v="2024-01-14"/>
    <x v="2"/>
    <x v="2"/>
    <s v="ADA"/>
    <n v="501895283995.15002"/>
    <n v="40680.720000000001"/>
    <n v="47267598881.949997"/>
    <n v="6744539"/>
    <n v="11516384"/>
    <n v="11835735"/>
    <n v="34.68"/>
    <n v="2.27"/>
    <n v="4.1100000000000003"/>
    <n v="26.87"/>
    <n v="64"/>
    <x v="1"/>
    <x v="2"/>
    <x v="2"/>
    <x v="2"/>
    <x v="1"/>
    <n v="15795"/>
    <n v="69.45"/>
    <n v="30.89"/>
    <n v="67.58"/>
    <n v="95.03"/>
  </r>
  <r>
    <s v="2024-11-23"/>
    <x v="3"/>
    <x v="3"/>
    <s v="SOL"/>
    <n v="394135122465.75"/>
    <n v="19264.11"/>
    <n v="16501713340.4"/>
    <n v="4051696"/>
    <n v="6453404"/>
    <n v="6984362"/>
    <n v="10.28"/>
    <n v="3.12"/>
    <n v="-4.9800000000000004"/>
    <n v="-28.09"/>
    <n v="134"/>
    <x v="2"/>
    <x v="3"/>
    <x v="2"/>
    <x v="3"/>
    <x v="1"/>
    <n v="740"/>
    <n v="65.8"/>
    <n v="72.34"/>
    <n v="29.75"/>
    <n v="54.66"/>
  </r>
  <r>
    <s v="2024-12-25"/>
    <x v="4"/>
    <x v="4"/>
    <s v="DOT"/>
    <n v="492826879019.28003"/>
    <n v="68655.149999999994"/>
    <n v="25874900341.860001"/>
    <n v="16727924"/>
    <n v="21136350"/>
    <n v="21676030"/>
    <n v="41.55"/>
    <n v="4.1100000000000003"/>
    <n v="18.829999999999998"/>
    <n v="24.85"/>
    <n v="99"/>
    <x v="3"/>
    <x v="3"/>
    <x v="1"/>
    <x v="4"/>
    <x v="1"/>
    <n v="12313"/>
    <n v="89.66"/>
    <n v="30.38"/>
    <n v="63.92"/>
    <n v="24.6"/>
  </r>
  <r>
    <s v="2024-08-05"/>
    <x v="5"/>
    <x v="3"/>
    <s v="SOL"/>
    <n v="623874612421.05005"/>
    <n v="53945.4"/>
    <n v="39000968476.239998"/>
    <n v="17406471"/>
    <n v="21840242"/>
    <n v="21881334"/>
    <n v="40.590000000000003"/>
    <n v="-0.66"/>
    <n v="10.61"/>
    <n v="28.37"/>
    <n v="97"/>
    <x v="4"/>
    <x v="1"/>
    <x v="2"/>
    <x v="0"/>
    <x v="1"/>
    <n v="35551"/>
    <n v="76.510000000000005"/>
    <n v="21.97"/>
    <n v="76.849999999999994"/>
    <n v="76.48"/>
  </r>
  <r>
    <s v="2024-02-22"/>
    <x v="1"/>
    <x v="5"/>
    <s v="XRP"/>
    <n v="93539459604.880005"/>
    <n v="45002.61"/>
    <n v="41013915740.940002"/>
    <n v="14393186"/>
    <n v="18865916"/>
    <n v="19667317"/>
    <n v="41.98"/>
    <n v="-1.88"/>
    <n v="7.7"/>
    <n v="-19.23"/>
    <n v="181"/>
    <x v="4"/>
    <x v="4"/>
    <x v="0"/>
    <x v="5"/>
    <x v="2"/>
    <n v="38378"/>
    <n v="73.84"/>
    <n v="74.819999999999993"/>
    <n v="36.81"/>
    <n v="39.229999999999997"/>
  </r>
  <r>
    <s v="2024-01-16"/>
    <x v="2"/>
    <x v="6"/>
    <s v="DOGE"/>
    <n v="78668658240.910004"/>
    <n v="4871.67"/>
    <n v="3655487428.3099999"/>
    <n v="3158535"/>
    <n v="3313470"/>
    <n v="3643665"/>
    <n v="1.97"/>
    <n v="3.53"/>
    <n v="-0.41"/>
    <n v="15.76"/>
    <n v="9"/>
    <x v="1"/>
    <x v="1"/>
    <x v="1"/>
    <x v="6"/>
    <x v="0"/>
    <n v="14724"/>
    <n v="43.45"/>
    <n v="86.43"/>
    <n v="60.15"/>
    <n v="33.46"/>
  </r>
  <r>
    <s v="2024-05-25"/>
    <x v="6"/>
    <x v="6"/>
    <s v="DOGE"/>
    <n v="285638740741.70001"/>
    <n v="51231.91"/>
    <n v="47115609145.68"/>
    <n v="17778082"/>
    <n v="22664888"/>
    <n v="23057770"/>
    <n v="6.23"/>
    <n v="1.88"/>
    <n v="-15.24"/>
    <n v="15.37"/>
    <n v="107"/>
    <x v="3"/>
    <x v="2"/>
    <x v="1"/>
    <x v="4"/>
    <x v="0"/>
    <n v="45243"/>
    <n v="88.85"/>
    <n v="43.76"/>
    <n v="84.53"/>
    <n v="51.57"/>
  </r>
  <r>
    <s v="2024-06-22"/>
    <x v="7"/>
    <x v="5"/>
    <s v="XRP"/>
    <n v="559326028340.72998"/>
    <n v="56668.82"/>
    <n v="40761346638.980003"/>
    <n v="10094216"/>
    <n v="14755509"/>
    <n v="14997549"/>
    <n v="5.25"/>
    <n v="1.78"/>
    <n v="19.62"/>
    <n v="-37.72"/>
    <n v="15"/>
    <x v="3"/>
    <x v="4"/>
    <x v="3"/>
    <x v="7"/>
    <x v="2"/>
    <n v="23695"/>
    <n v="50.82"/>
    <n v="25.56"/>
    <n v="80.849999999999994"/>
    <n v="84.66"/>
  </r>
  <r>
    <s v="2024-05-01"/>
    <x v="6"/>
    <x v="1"/>
    <s v="BNB"/>
    <n v="596963940550.09998"/>
    <n v="21638.12"/>
    <n v="44148728695.209999"/>
    <n v="6799417"/>
    <n v="8018083"/>
    <n v="9014653"/>
    <n v="44.9"/>
    <n v="-4.09"/>
    <n v="9.27"/>
    <n v="36.229999999999997"/>
    <n v="143"/>
    <x v="2"/>
    <x v="3"/>
    <x v="1"/>
    <x v="8"/>
    <x v="1"/>
    <n v="44858"/>
    <n v="39.46"/>
    <n v="52.37"/>
    <n v="47.57"/>
    <n v="81.209999999999994"/>
  </r>
  <r>
    <s v="2024-04-05"/>
    <x v="8"/>
    <x v="2"/>
    <s v="ADA"/>
    <n v="484470126762.03998"/>
    <n v="12753.7"/>
    <n v="29747957114.080002"/>
    <n v="9692002"/>
    <n v="11117257"/>
    <n v="12087401"/>
    <n v="17.45"/>
    <n v="-3.74"/>
    <n v="6.2"/>
    <n v="34.99"/>
    <n v="103"/>
    <x v="2"/>
    <x v="3"/>
    <x v="0"/>
    <x v="9"/>
    <x v="1"/>
    <n v="4533"/>
    <n v="97.62"/>
    <n v="44.71"/>
    <n v="11.07"/>
    <n v="76.84"/>
  </r>
  <r>
    <s v="2024-03-17"/>
    <x v="9"/>
    <x v="7"/>
    <s v="AVAX"/>
    <n v="260530738306.56"/>
    <n v="15095.15"/>
    <n v="18704850143.639999"/>
    <n v="13885348"/>
    <n v="17391185"/>
    <n v="17586346"/>
    <n v="43.97"/>
    <n v="2.84"/>
    <n v="-17.32"/>
    <n v="-5.85"/>
    <n v="159"/>
    <x v="4"/>
    <x v="4"/>
    <x v="2"/>
    <x v="9"/>
    <x v="1"/>
    <n v="64975"/>
    <n v="96.89"/>
    <n v="88.81"/>
    <n v="62.09"/>
    <n v="87.3"/>
  </r>
  <r>
    <s v="2024-12-23"/>
    <x v="4"/>
    <x v="1"/>
    <s v="BNB"/>
    <n v="463134502377.22998"/>
    <n v="46932.35"/>
    <n v="36403846941.919998"/>
    <n v="1650790"/>
    <n v="4539468"/>
    <n v="5385952"/>
    <n v="5.21"/>
    <n v="4.17"/>
    <n v="11.34"/>
    <n v="-7.81"/>
    <n v="70"/>
    <x v="2"/>
    <x v="2"/>
    <x v="3"/>
    <x v="5"/>
    <x v="1"/>
    <n v="60733"/>
    <n v="68.73"/>
    <n v="82.63"/>
    <n v="35.31"/>
    <n v="27.84"/>
  </r>
  <r>
    <s v="2024-08-23"/>
    <x v="5"/>
    <x v="7"/>
    <s v="AVAX"/>
    <n v="802803120979.38"/>
    <n v="22779.75"/>
    <n v="23323826718.389999"/>
    <n v="18968542"/>
    <n v="23225722"/>
    <n v="23687245"/>
    <n v="23.26"/>
    <n v="-4.72"/>
    <n v="4.34"/>
    <n v="-5.0199999999999996"/>
    <n v="55"/>
    <x v="3"/>
    <x v="2"/>
    <x v="3"/>
    <x v="2"/>
    <x v="1"/>
    <n v="56186"/>
    <n v="25.58"/>
    <n v="77.61"/>
    <n v="86.58"/>
    <n v="35.340000000000003"/>
  </r>
  <r>
    <s v="2024-05-13"/>
    <x v="6"/>
    <x v="7"/>
    <s v="AVAX"/>
    <n v="799518121892.02002"/>
    <n v="17810.490000000002"/>
    <n v="41733709075.07"/>
    <n v="13667172"/>
    <n v="14722324"/>
    <n v="15581576"/>
    <n v="26.59"/>
    <n v="0.17"/>
    <n v="-5.67"/>
    <n v="-10.59"/>
    <n v="184"/>
    <x v="4"/>
    <x v="1"/>
    <x v="0"/>
    <x v="8"/>
    <x v="1"/>
    <n v="23731"/>
    <n v="67.819999999999993"/>
    <n v="45.24"/>
    <n v="18.739999999999998"/>
    <n v="72.78"/>
  </r>
  <r>
    <s v="2024-05-09"/>
    <x v="6"/>
    <x v="5"/>
    <s v="XRP"/>
    <n v="425860474934.90002"/>
    <n v="24496.09"/>
    <n v="718049452.25999999"/>
    <n v="1777687"/>
    <n v="4399822"/>
    <n v="4598780"/>
    <n v="41.67"/>
    <n v="-4.83"/>
    <n v="5.42"/>
    <n v="-29.41"/>
    <n v="99"/>
    <x v="1"/>
    <x v="4"/>
    <x v="4"/>
    <x v="5"/>
    <x v="2"/>
    <n v="36686"/>
    <n v="10.039999999999999"/>
    <n v="42.66"/>
    <n v="29.19"/>
    <n v="21.48"/>
  </r>
  <r>
    <s v="2024-08-20"/>
    <x v="5"/>
    <x v="1"/>
    <s v="BNB"/>
    <n v="861695226134.06006"/>
    <n v="51772.87"/>
    <n v="43504480155.589996"/>
    <n v="11922873"/>
    <n v="16063702"/>
    <n v="16173658"/>
    <n v="49.09"/>
    <n v="3.03"/>
    <n v="2.4500000000000002"/>
    <n v="-4.5199999999999996"/>
    <n v="126"/>
    <x v="2"/>
    <x v="1"/>
    <x v="2"/>
    <x v="9"/>
    <x v="1"/>
    <n v="54115"/>
    <n v="88.51"/>
    <n v="55.22"/>
    <n v="45.17"/>
    <n v="59.32"/>
  </r>
  <r>
    <s v="2024-08-19"/>
    <x v="5"/>
    <x v="7"/>
    <s v="AVAX"/>
    <n v="162171672299.78"/>
    <n v="66304.429999999993"/>
    <n v="9640294633.8700008"/>
    <n v="13213789"/>
    <n v="16510027"/>
    <n v="17336499"/>
    <n v="47.28"/>
    <n v="-3.89"/>
    <n v="17.579999999999998"/>
    <n v="-14.68"/>
    <n v="40"/>
    <x v="4"/>
    <x v="0"/>
    <x v="0"/>
    <x v="10"/>
    <x v="1"/>
    <n v="19495"/>
    <n v="20.09"/>
    <n v="50.1"/>
    <n v="34.96"/>
    <n v="69.97"/>
  </r>
  <r>
    <s v="2024-01-15"/>
    <x v="2"/>
    <x v="8"/>
    <s v="ETH"/>
    <n v="202448001479.04999"/>
    <n v="58987.62"/>
    <n v="38324779826.449997"/>
    <n v="3088057"/>
    <n v="5239949"/>
    <n v="6060927"/>
    <n v="30.37"/>
    <n v="-1.31"/>
    <n v="8.9499999999999993"/>
    <n v="5.99"/>
    <n v="107"/>
    <x v="1"/>
    <x v="0"/>
    <x v="2"/>
    <x v="11"/>
    <x v="1"/>
    <n v="50666"/>
    <n v="33.57"/>
    <n v="23.39"/>
    <n v="92.95"/>
    <n v="51.16"/>
  </r>
  <r>
    <s v="2024-10-27"/>
    <x v="10"/>
    <x v="8"/>
    <s v="ETH"/>
    <n v="749654053087.90002"/>
    <n v="1940.64"/>
    <n v="16298082518.4"/>
    <n v="14642887"/>
    <n v="18784841"/>
    <n v="19420766"/>
    <n v="16.32"/>
    <n v="-0.32"/>
    <n v="0.87"/>
    <n v="28.31"/>
    <n v="199"/>
    <x v="3"/>
    <x v="0"/>
    <x v="4"/>
    <x v="2"/>
    <x v="1"/>
    <n v="37034"/>
    <n v="65.06"/>
    <n v="98.35"/>
    <n v="67.3"/>
    <n v="71.38"/>
  </r>
  <r>
    <s v="2024-02-22"/>
    <x v="1"/>
    <x v="3"/>
    <s v="SOL"/>
    <n v="508757577725.75"/>
    <n v="68228.88"/>
    <n v="22297150292.110001"/>
    <n v="6466072"/>
    <n v="6588981"/>
    <n v="7459458"/>
    <n v="36.03"/>
    <n v="-3.39"/>
    <n v="19.32"/>
    <n v="39.03"/>
    <n v="80"/>
    <x v="1"/>
    <x v="0"/>
    <x v="0"/>
    <x v="11"/>
    <x v="1"/>
    <n v="6234"/>
    <n v="82.69"/>
    <n v="96.37"/>
    <n v="46.73"/>
    <n v="88.54"/>
  </r>
  <r>
    <s v="2024-02-25"/>
    <x v="1"/>
    <x v="2"/>
    <s v="ADA"/>
    <n v="645989109919.89001"/>
    <n v="34941.19"/>
    <n v="38184317159.529999"/>
    <n v="13648503"/>
    <n v="15368580"/>
    <n v="15644235"/>
    <n v="15.76"/>
    <n v="4.3499999999999996"/>
    <n v="-15.32"/>
    <n v="16.55"/>
    <n v="14"/>
    <x v="3"/>
    <x v="0"/>
    <x v="2"/>
    <x v="0"/>
    <x v="1"/>
    <n v="25099"/>
    <n v="84.28"/>
    <n v="71.87"/>
    <n v="33.630000000000003"/>
    <n v="26.68"/>
  </r>
  <r>
    <s v="2024-06-09"/>
    <x v="7"/>
    <x v="4"/>
    <s v="DOT"/>
    <n v="224354018138.04001"/>
    <n v="33887.75"/>
    <n v="14028517297.700001"/>
    <n v="16925043"/>
    <n v="20988466"/>
    <n v="21203202"/>
    <n v="52.33"/>
    <n v="3.56"/>
    <n v="-19.760000000000002"/>
    <n v="29.35"/>
    <n v="1"/>
    <x v="2"/>
    <x v="4"/>
    <x v="3"/>
    <x v="3"/>
    <x v="1"/>
    <n v="19612"/>
    <n v="42.16"/>
    <n v="77.63"/>
    <n v="12.98"/>
    <n v="33.25"/>
  </r>
  <r>
    <s v="2024-01-20"/>
    <x v="2"/>
    <x v="6"/>
    <s v="DOGE"/>
    <n v="561095024008.85999"/>
    <n v="1458.54"/>
    <n v="21098034000.07"/>
    <n v="10775437"/>
    <n v="14788979"/>
    <n v="15095106"/>
    <n v="21.3"/>
    <n v="-1.32"/>
    <n v="1.77"/>
    <n v="-0.12"/>
    <n v="76"/>
    <x v="3"/>
    <x v="0"/>
    <x v="3"/>
    <x v="3"/>
    <x v="0"/>
    <n v="32830"/>
    <n v="35"/>
    <n v="36.659999999999997"/>
    <n v="71.84"/>
    <n v="62.77"/>
  </r>
  <r>
    <s v="2024-07-08"/>
    <x v="0"/>
    <x v="7"/>
    <s v="AVAX"/>
    <n v="538281644022.67999"/>
    <n v="69169.8"/>
    <n v="14370379446.110001"/>
    <n v="10692776"/>
    <n v="11460550"/>
    <n v="11726775"/>
    <n v="55.34"/>
    <n v="0.74"/>
    <n v="13"/>
    <n v="-36.72"/>
    <n v="134"/>
    <x v="0"/>
    <x v="4"/>
    <x v="3"/>
    <x v="12"/>
    <x v="1"/>
    <n v="33559"/>
    <n v="33.39"/>
    <n v="30.54"/>
    <n v="42.5"/>
    <n v="87.19"/>
  </r>
  <r>
    <s v="2024-09-29"/>
    <x v="11"/>
    <x v="2"/>
    <s v="ADA"/>
    <n v="244308840597.39999"/>
    <n v="28221.96"/>
    <n v="34699801728.57"/>
    <n v="11536742"/>
    <n v="12844252"/>
    <n v="12955716"/>
    <n v="18.57"/>
    <n v="-2.63"/>
    <n v="-2.5"/>
    <n v="21.32"/>
    <n v="43"/>
    <x v="1"/>
    <x v="3"/>
    <x v="0"/>
    <x v="0"/>
    <x v="1"/>
    <n v="43401"/>
    <n v="59.99"/>
    <n v="86.12"/>
    <n v="34.11"/>
    <n v="66.53"/>
  </r>
  <r>
    <s v="2024-04-16"/>
    <x v="8"/>
    <x v="8"/>
    <s v="ETH"/>
    <n v="385349481164.58002"/>
    <n v="54210.41"/>
    <n v="41531941308.660004"/>
    <n v="16360723"/>
    <n v="16851611"/>
    <n v="17264649"/>
    <n v="24.32"/>
    <n v="1.2"/>
    <n v="-7.92"/>
    <n v="17.11"/>
    <n v="63"/>
    <x v="3"/>
    <x v="3"/>
    <x v="4"/>
    <x v="4"/>
    <x v="1"/>
    <n v="28555"/>
    <n v="93.95"/>
    <n v="68.17"/>
    <n v="56.48"/>
    <n v="47.05"/>
  </r>
  <r>
    <s v="2024-06-26"/>
    <x v="7"/>
    <x v="7"/>
    <s v="AVAX"/>
    <n v="370354461077.96997"/>
    <n v="65457.82"/>
    <n v="30241214403.880001"/>
    <n v="15871122"/>
    <n v="20770229"/>
    <n v="21687474"/>
    <n v="19"/>
    <n v="-2.1"/>
    <n v="-18.05"/>
    <n v="-7.6"/>
    <n v="179"/>
    <x v="3"/>
    <x v="3"/>
    <x v="4"/>
    <x v="11"/>
    <x v="1"/>
    <n v="15957"/>
    <n v="59.16"/>
    <n v="90.95"/>
    <n v="85.98"/>
    <n v="13.82"/>
  </r>
  <r>
    <s v="2024-03-15"/>
    <x v="9"/>
    <x v="0"/>
    <s v="LTC"/>
    <n v="828322672572.27002"/>
    <n v="37315.26"/>
    <n v="35815860449.639999"/>
    <n v="9665540"/>
    <n v="13503378"/>
    <n v="13776327"/>
    <n v="42.88"/>
    <n v="1.51"/>
    <n v="-2.62"/>
    <n v="-21.41"/>
    <n v="15"/>
    <x v="0"/>
    <x v="4"/>
    <x v="1"/>
    <x v="3"/>
    <x v="0"/>
    <n v="54144"/>
    <n v="52.55"/>
    <n v="34.340000000000003"/>
    <n v="43.51"/>
    <n v="97.35"/>
  </r>
  <r>
    <s v="2024-06-26"/>
    <x v="7"/>
    <x v="2"/>
    <s v="ADA"/>
    <n v="179598852479.62"/>
    <n v="44342.34"/>
    <n v="23629557052.860001"/>
    <n v="10092380"/>
    <n v="10340506"/>
    <n v="10949148"/>
    <n v="12.1"/>
    <n v="-4.5999999999999996"/>
    <n v="5.56"/>
    <n v="-16.64"/>
    <n v="86"/>
    <x v="4"/>
    <x v="2"/>
    <x v="0"/>
    <x v="4"/>
    <x v="1"/>
    <n v="15829"/>
    <n v="11.8"/>
    <n v="72.48"/>
    <n v="51.2"/>
    <n v="63.83"/>
  </r>
  <r>
    <s v="2024-08-17"/>
    <x v="5"/>
    <x v="9"/>
    <s v="BTC"/>
    <n v="557986941378.22998"/>
    <n v="53223.03"/>
    <n v="29932091756.130001"/>
    <n v="9080082"/>
    <n v="11380273"/>
    <n v="12289027"/>
    <n v="32.67"/>
    <n v="0.77"/>
    <n v="-15.82"/>
    <n v="-5.9"/>
    <n v="75"/>
    <x v="4"/>
    <x v="2"/>
    <x v="0"/>
    <x v="2"/>
    <x v="0"/>
    <n v="4940"/>
    <n v="49.11"/>
    <n v="24.04"/>
    <n v="90.46"/>
    <n v="82.85"/>
  </r>
  <r>
    <s v="2024-01-03"/>
    <x v="2"/>
    <x v="7"/>
    <s v="AVAX"/>
    <n v="42920436266.919998"/>
    <n v="8743.7199999999993"/>
    <n v="26365921054.669998"/>
    <n v="1208809"/>
    <n v="2050503"/>
    <n v="2302413"/>
    <n v="36.56"/>
    <n v="1.45"/>
    <n v="9.7200000000000006"/>
    <n v="-8.1999999999999993"/>
    <n v="41"/>
    <x v="4"/>
    <x v="3"/>
    <x v="4"/>
    <x v="7"/>
    <x v="1"/>
    <n v="27389"/>
    <n v="79"/>
    <n v="20.63"/>
    <n v="59.75"/>
    <n v="80.13"/>
  </r>
  <r>
    <s v="2024-01-27"/>
    <x v="2"/>
    <x v="9"/>
    <s v="BTC"/>
    <n v="388994200839.96997"/>
    <n v="8439.69"/>
    <n v="1552726114.9000001"/>
    <n v="10783859"/>
    <n v="14178100"/>
    <n v="14663843"/>
    <n v="15.42"/>
    <n v="3.9"/>
    <n v="-16.25"/>
    <n v="32.880000000000003"/>
    <n v="146"/>
    <x v="1"/>
    <x v="2"/>
    <x v="1"/>
    <x v="8"/>
    <x v="0"/>
    <n v="16271"/>
    <n v="23.37"/>
    <n v="70.31"/>
    <n v="51.46"/>
    <n v="49.81"/>
  </r>
  <r>
    <s v="2024-02-05"/>
    <x v="1"/>
    <x v="1"/>
    <s v="BNB"/>
    <n v="334065764905.19"/>
    <n v="21593.119999999999"/>
    <n v="47443773999.589996"/>
    <n v="9669087"/>
    <n v="10963663"/>
    <n v="11010258"/>
    <n v="25.71"/>
    <n v="-2"/>
    <n v="-0.92"/>
    <n v="-12.6"/>
    <n v="168"/>
    <x v="4"/>
    <x v="3"/>
    <x v="4"/>
    <x v="4"/>
    <x v="1"/>
    <n v="24611"/>
    <n v="27.86"/>
    <n v="56.48"/>
    <n v="86.88"/>
    <n v="41.19"/>
  </r>
  <r>
    <s v="2024-03-09"/>
    <x v="9"/>
    <x v="0"/>
    <s v="LTC"/>
    <n v="778081345902.14001"/>
    <n v="47164.41"/>
    <n v="30130552212.509998"/>
    <n v="16417840"/>
    <n v="19541056"/>
    <n v="19728056"/>
    <n v="34.08"/>
    <n v="1.1299999999999999"/>
    <n v="18.170000000000002"/>
    <n v="13.1"/>
    <n v="146"/>
    <x v="1"/>
    <x v="1"/>
    <x v="0"/>
    <x v="0"/>
    <x v="0"/>
    <n v="13645"/>
    <n v="66.12"/>
    <n v="31.91"/>
    <n v="73.84"/>
    <n v="27.75"/>
  </r>
  <r>
    <s v="2024-07-04"/>
    <x v="0"/>
    <x v="9"/>
    <s v="BTC"/>
    <n v="85860755322.880005"/>
    <n v="23352.75"/>
    <n v="3867375057.73"/>
    <n v="8458879"/>
    <n v="11216418"/>
    <n v="12156303"/>
    <n v="55.42"/>
    <n v="-1.08"/>
    <n v="18.47"/>
    <n v="-35.21"/>
    <n v="44"/>
    <x v="2"/>
    <x v="2"/>
    <x v="4"/>
    <x v="6"/>
    <x v="0"/>
    <n v="53444"/>
    <n v="53.62"/>
    <n v="85.35"/>
    <n v="86.98"/>
    <n v="45.83"/>
  </r>
  <r>
    <s v="2024-05-18"/>
    <x v="6"/>
    <x v="7"/>
    <s v="AVAX"/>
    <n v="161955912040.31"/>
    <n v="13163.54"/>
    <n v="40696735791.050003"/>
    <n v="6775550"/>
    <n v="7489094"/>
    <n v="7509825"/>
    <n v="2.0299999999999998"/>
    <n v="3.53"/>
    <n v="-10.64"/>
    <n v="-16.079999999999998"/>
    <n v="22"/>
    <x v="4"/>
    <x v="2"/>
    <x v="2"/>
    <x v="11"/>
    <x v="1"/>
    <n v="59612"/>
    <n v="49.51"/>
    <n v="84.36"/>
    <n v="59.49"/>
    <n v="62.03"/>
  </r>
  <r>
    <s v="2024-08-01"/>
    <x v="5"/>
    <x v="9"/>
    <s v="BTC"/>
    <n v="458963713155.90002"/>
    <n v="12014.13"/>
    <n v="25849757960.73"/>
    <n v="1265969"/>
    <n v="6167622"/>
    <n v="6578938"/>
    <n v="11.05"/>
    <n v="-3.45"/>
    <n v="12.46"/>
    <n v="38.119999999999997"/>
    <n v="156"/>
    <x v="1"/>
    <x v="4"/>
    <x v="2"/>
    <x v="5"/>
    <x v="0"/>
    <n v="36424"/>
    <n v="22.28"/>
    <n v="92"/>
    <n v="38.020000000000003"/>
    <n v="18.77"/>
  </r>
  <r>
    <s v="2024-08-07"/>
    <x v="5"/>
    <x v="2"/>
    <s v="ADA"/>
    <n v="364755035054.14001"/>
    <n v="396.93"/>
    <n v="854813423.13999999"/>
    <n v="18657627"/>
    <n v="21320523"/>
    <n v="21692108"/>
    <n v="31.67"/>
    <n v="-3.01"/>
    <n v="-6.3"/>
    <n v="14.4"/>
    <n v="42"/>
    <x v="0"/>
    <x v="2"/>
    <x v="0"/>
    <x v="13"/>
    <x v="1"/>
    <n v="50145"/>
    <n v="91.97"/>
    <n v="26.17"/>
    <n v="92.93"/>
    <n v="81.680000000000007"/>
  </r>
  <r>
    <s v="2024-01-14"/>
    <x v="2"/>
    <x v="7"/>
    <s v="AVAX"/>
    <n v="414144869053.76001"/>
    <n v="34.75"/>
    <n v="13966996572.41"/>
    <n v="4666244"/>
    <n v="9357370"/>
    <n v="10231483"/>
    <n v="51.45"/>
    <n v="4.1500000000000004"/>
    <n v="-0.86"/>
    <n v="-28.52"/>
    <n v="123"/>
    <x v="2"/>
    <x v="2"/>
    <x v="0"/>
    <x v="9"/>
    <x v="1"/>
    <n v="39035"/>
    <n v="36.229999999999997"/>
    <n v="61.45"/>
    <n v="53.88"/>
    <n v="34.619999999999997"/>
  </r>
  <r>
    <s v="2024-07-09"/>
    <x v="0"/>
    <x v="0"/>
    <s v="LTC"/>
    <n v="551013559525.18994"/>
    <n v="19050.62"/>
    <n v="13167520006.629999"/>
    <n v="8631946"/>
    <n v="13551061"/>
    <n v="13660267"/>
    <n v="44.77"/>
    <n v="3.35"/>
    <n v="-8.83"/>
    <n v="-26.35"/>
    <n v="10"/>
    <x v="0"/>
    <x v="4"/>
    <x v="4"/>
    <x v="3"/>
    <x v="0"/>
    <n v="4501"/>
    <n v="15.48"/>
    <n v="99.28"/>
    <n v="86.74"/>
    <n v="57.1"/>
  </r>
  <r>
    <s v="2024-06-05"/>
    <x v="7"/>
    <x v="0"/>
    <s v="LTC"/>
    <n v="281332346122.06"/>
    <n v="27130.46"/>
    <n v="79528455.760000005"/>
    <n v="11243068"/>
    <n v="15137513"/>
    <n v="15546291"/>
    <n v="3.43"/>
    <n v="-2.35"/>
    <n v="-3.93"/>
    <n v="-2.2799999999999998"/>
    <n v="41"/>
    <x v="3"/>
    <x v="1"/>
    <x v="3"/>
    <x v="9"/>
    <x v="0"/>
    <n v="16489"/>
    <n v="20.53"/>
    <n v="79.8"/>
    <n v="40.69"/>
    <n v="74.459999999999994"/>
  </r>
  <r>
    <s v="2024-10-23"/>
    <x v="10"/>
    <x v="0"/>
    <s v="LTC"/>
    <n v="606926232478.51001"/>
    <n v="17938.77"/>
    <n v="44520017417.290001"/>
    <n v="5609440"/>
    <n v="9977562"/>
    <n v="10351878"/>
    <n v="41.98"/>
    <n v="-2.93"/>
    <n v="-4.1500000000000004"/>
    <n v="6.25"/>
    <n v="121"/>
    <x v="2"/>
    <x v="3"/>
    <x v="2"/>
    <x v="8"/>
    <x v="0"/>
    <n v="41954"/>
    <n v="36.590000000000003"/>
    <n v="90.2"/>
    <n v="35.43"/>
    <n v="68.069999999999993"/>
  </r>
  <r>
    <s v="2024-12-19"/>
    <x v="4"/>
    <x v="1"/>
    <s v="BNB"/>
    <n v="435390419110.65997"/>
    <n v="63612.23"/>
    <n v="2715656238.8299999"/>
    <n v="14259223"/>
    <n v="14408952"/>
    <n v="14925557"/>
    <n v="32.22"/>
    <n v="-0.44"/>
    <n v="-5.46"/>
    <n v="-20.77"/>
    <n v="132"/>
    <x v="3"/>
    <x v="1"/>
    <x v="3"/>
    <x v="7"/>
    <x v="1"/>
    <n v="32746"/>
    <n v="83.69"/>
    <n v="42.88"/>
    <n v="97.39"/>
    <n v="40.130000000000003"/>
  </r>
  <r>
    <s v="2024-10-17"/>
    <x v="10"/>
    <x v="0"/>
    <s v="LTC"/>
    <n v="195107071591.39999"/>
    <n v="57295.31"/>
    <n v="37853646648.32"/>
    <n v="9468762"/>
    <n v="13698465"/>
    <n v="13942076"/>
    <n v="34.58"/>
    <n v="-4.87"/>
    <n v="-5.9"/>
    <n v="-20.48"/>
    <n v="85"/>
    <x v="4"/>
    <x v="2"/>
    <x v="4"/>
    <x v="12"/>
    <x v="0"/>
    <n v="39990"/>
    <n v="28.88"/>
    <n v="32.94"/>
    <n v="75.489999999999995"/>
    <n v="66.61"/>
  </r>
  <r>
    <s v="2024-03-25"/>
    <x v="9"/>
    <x v="0"/>
    <s v="LTC"/>
    <n v="578318657285.53003"/>
    <n v="28330.21"/>
    <n v="38873314183.730003"/>
    <n v="7705448"/>
    <n v="11508888"/>
    <n v="11536191"/>
    <n v="21.75"/>
    <n v="4.6100000000000003"/>
    <n v="10.26"/>
    <n v="-28.46"/>
    <n v="77"/>
    <x v="0"/>
    <x v="0"/>
    <x v="1"/>
    <x v="1"/>
    <x v="0"/>
    <n v="38815"/>
    <n v="44.98"/>
    <n v="30.13"/>
    <n v="88.33"/>
    <n v="58.56"/>
  </r>
  <r>
    <s v="2024-11-06"/>
    <x v="3"/>
    <x v="9"/>
    <s v="BTC"/>
    <n v="195064038611.42001"/>
    <n v="39893.71"/>
    <n v="39600212096.830002"/>
    <n v="1809487"/>
    <n v="5876254"/>
    <n v="6197536"/>
    <n v="2.13"/>
    <n v="0.33"/>
    <n v="19.489999999999998"/>
    <n v="-33.200000000000003"/>
    <n v="149"/>
    <x v="3"/>
    <x v="0"/>
    <x v="2"/>
    <x v="12"/>
    <x v="0"/>
    <n v="6243"/>
    <n v="50.16"/>
    <n v="52.46"/>
    <n v="68"/>
    <n v="19.12"/>
  </r>
  <r>
    <s v="2024-01-04"/>
    <x v="2"/>
    <x v="9"/>
    <s v="BTC"/>
    <n v="42976219375.800003"/>
    <n v="39420.720000000001"/>
    <n v="14098051737.389999"/>
    <n v="13078609"/>
    <n v="14268116"/>
    <n v="14396824"/>
    <n v="2.4"/>
    <n v="0.46"/>
    <n v="11.86"/>
    <n v="28.72"/>
    <n v="79"/>
    <x v="4"/>
    <x v="4"/>
    <x v="4"/>
    <x v="3"/>
    <x v="0"/>
    <n v="50024"/>
    <n v="51.58"/>
    <n v="97.95"/>
    <n v="97.78"/>
    <n v="60.52"/>
  </r>
  <r>
    <s v="2024-07-02"/>
    <x v="0"/>
    <x v="3"/>
    <s v="SOL"/>
    <n v="806320024385.64001"/>
    <n v="61243.66"/>
    <n v="31222923489.580002"/>
    <n v="17051741"/>
    <n v="19053860"/>
    <n v="19331996"/>
    <n v="9.43"/>
    <n v="1.03"/>
    <n v="6.5"/>
    <n v="10.75"/>
    <n v="51"/>
    <x v="2"/>
    <x v="3"/>
    <x v="3"/>
    <x v="2"/>
    <x v="1"/>
    <n v="59928"/>
    <n v="93.19"/>
    <n v="31.41"/>
    <n v="54.69"/>
    <n v="67.81"/>
  </r>
  <r>
    <s v="2024-12-29"/>
    <x v="4"/>
    <x v="6"/>
    <s v="DOGE"/>
    <n v="792516824912.18994"/>
    <n v="4446.84"/>
    <n v="38407625939.5"/>
    <n v="7408369"/>
    <n v="10697807"/>
    <n v="10871793"/>
    <n v="50.97"/>
    <n v="-4.3899999999999997"/>
    <n v="8.34"/>
    <n v="-37.409999999999997"/>
    <n v="133"/>
    <x v="2"/>
    <x v="3"/>
    <x v="2"/>
    <x v="11"/>
    <x v="0"/>
    <n v="2445"/>
    <n v="89.36"/>
    <n v="92.98"/>
    <n v="95.21"/>
    <n v="54.02"/>
  </r>
  <r>
    <s v="2024-08-08"/>
    <x v="5"/>
    <x v="8"/>
    <s v="ETH"/>
    <n v="345876685968.02002"/>
    <n v="11597.23"/>
    <n v="23631451651.209999"/>
    <n v="2826415"/>
    <n v="3439056"/>
    <n v="4143723"/>
    <n v="40.549999999999997"/>
    <n v="0.98"/>
    <n v="14.77"/>
    <n v="-37.479999999999997"/>
    <n v="111"/>
    <x v="4"/>
    <x v="1"/>
    <x v="4"/>
    <x v="10"/>
    <x v="1"/>
    <n v="49744"/>
    <n v="26.77"/>
    <n v="81.06"/>
    <n v="93.16"/>
    <n v="83.46"/>
  </r>
  <r>
    <s v="2024-10-17"/>
    <x v="10"/>
    <x v="9"/>
    <s v="BTC"/>
    <n v="326719576776.42999"/>
    <n v="47584.25"/>
    <n v="34151257978.52"/>
    <n v="2842899"/>
    <n v="7452519"/>
    <n v="8039859"/>
    <n v="1.95"/>
    <n v="3.88"/>
    <n v="-5.4"/>
    <n v="13.08"/>
    <n v="10"/>
    <x v="3"/>
    <x v="3"/>
    <x v="0"/>
    <x v="11"/>
    <x v="0"/>
    <n v="21440"/>
    <n v="73.5"/>
    <n v="44.54"/>
    <n v="44.34"/>
    <n v="42.6"/>
  </r>
  <r>
    <s v="2024-03-09"/>
    <x v="9"/>
    <x v="3"/>
    <s v="SOL"/>
    <n v="14915461599.67"/>
    <n v="37367.4"/>
    <n v="812957591.24000001"/>
    <n v="14171042"/>
    <n v="17135003"/>
    <n v="18029996"/>
    <n v="13.89"/>
    <n v="3.43"/>
    <n v="-6.84"/>
    <n v="-27.64"/>
    <n v="25"/>
    <x v="0"/>
    <x v="2"/>
    <x v="1"/>
    <x v="4"/>
    <x v="1"/>
    <n v="54618"/>
    <n v="22.42"/>
    <n v="75.540000000000006"/>
    <n v="84.97"/>
    <n v="97.78"/>
  </r>
  <r>
    <s v="2024-02-20"/>
    <x v="1"/>
    <x v="6"/>
    <s v="DOGE"/>
    <n v="520984123388.10999"/>
    <n v="32986.76"/>
    <n v="21090168834.18"/>
    <n v="2006315"/>
    <n v="2148051"/>
    <n v="2869162"/>
    <n v="3.71"/>
    <n v="-2.87"/>
    <n v="6.65"/>
    <n v="14.47"/>
    <n v="99"/>
    <x v="1"/>
    <x v="0"/>
    <x v="1"/>
    <x v="4"/>
    <x v="0"/>
    <n v="10082"/>
    <n v="31.94"/>
    <n v="89.89"/>
    <n v="93.75"/>
    <n v="13.31"/>
  </r>
  <r>
    <s v="2024-02-09"/>
    <x v="1"/>
    <x v="2"/>
    <s v="ADA"/>
    <n v="598113692690.79004"/>
    <n v="13051.01"/>
    <n v="5254227603.6199999"/>
    <n v="14487437"/>
    <n v="15803666"/>
    <n v="15945695"/>
    <n v="13.47"/>
    <n v="1.04"/>
    <n v="19.510000000000002"/>
    <n v="19.84"/>
    <n v="157"/>
    <x v="2"/>
    <x v="2"/>
    <x v="3"/>
    <x v="2"/>
    <x v="1"/>
    <n v="55984"/>
    <n v="42.76"/>
    <n v="92.35"/>
    <n v="60.94"/>
    <n v="25.32"/>
  </r>
  <r>
    <s v="2024-02-25"/>
    <x v="1"/>
    <x v="3"/>
    <s v="SOL"/>
    <n v="856438885237.65002"/>
    <n v="38071.699999999997"/>
    <n v="3859811172.02"/>
    <n v="16965039"/>
    <n v="20725158"/>
    <n v="20990163"/>
    <n v="59.17"/>
    <n v="-1.48"/>
    <n v="-4.03"/>
    <n v="-29.21"/>
    <n v="83"/>
    <x v="1"/>
    <x v="3"/>
    <x v="1"/>
    <x v="3"/>
    <x v="1"/>
    <n v="54974"/>
    <n v="80.69"/>
    <n v="83.41"/>
    <n v="30.41"/>
    <n v="16.600000000000001"/>
  </r>
  <r>
    <s v="2024-02-27"/>
    <x v="1"/>
    <x v="8"/>
    <s v="ETH"/>
    <n v="495591387574.52002"/>
    <n v="43722.9"/>
    <n v="10037259009.83"/>
    <n v="8221155"/>
    <n v="8396951"/>
    <n v="8775966"/>
    <n v="14.79"/>
    <n v="-3.56"/>
    <n v="19.649999999999999"/>
    <n v="36.729999999999997"/>
    <n v="116"/>
    <x v="3"/>
    <x v="2"/>
    <x v="1"/>
    <x v="8"/>
    <x v="1"/>
    <n v="14782"/>
    <n v="63.15"/>
    <n v="27.13"/>
    <n v="39"/>
    <n v="59.69"/>
  </r>
  <r>
    <s v="2024-03-22"/>
    <x v="9"/>
    <x v="5"/>
    <s v="XRP"/>
    <n v="514979488369.59998"/>
    <n v="39045.870000000003"/>
    <n v="33216713045.470001"/>
    <n v="16195038"/>
    <n v="16372582"/>
    <n v="16455751"/>
    <n v="38.04"/>
    <n v="-3.04"/>
    <n v="-10.52"/>
    <n v="33.479999999999997"/>
    <n v="101"/>
    <x v="3"/>
    <x v="2"/>
    <x v="3"/>
    <x v="5"/>
    <x v="2"/>
    <n v="29371"/>
    <n v="25.73"/>
    <n v="86.86"/>
    <n v="15.34"/>
    <n v="13.34"/>
  </r>
  <r>
    <s v="2024-01-08"/>
    <x v="2"/>
    <x v="1"/>
    <s v="BNB"/>
    <n v="255351567918.76001"/>
    <n v="1173.08"/>
    <n v="46913830169.290001"/>
    <n v="9887895"/>
    <n v="10560208"/>
    <n v="10677360"/>
    <n v="49.51"/>
    <n v="-1.53"/>
    <n v="-11.03"/>
    <n v="-27.68"/>
    <n v="23"/>
    <x v="4"/>
    <x v="1"/>
    <x v="0"/>
    <x v="6"/>
    <x v="1"/>
    <n v="54870"/>
    <n v="85.38"/>
    <n v="21.2"/>
    <n v="97.27"/>
    <n v="30.46"/>
  </r>
  <r>
    <s v="2024-05-11"/>
    <x v="6"/>
    <x v="8"/>
    <s v="ETH"/>
    <n v="881532404134.66003"/>
    <n v="35269.4"/>
    <n v="23454659084.049999"/>
    <n v="9991285"/>
    <n v="11763056"/>
    <n v="12207815"/>
    <n v="22.03"/>
    <n v="2.46"/>
    <n v="-8.85"/>
    <n v="-32.17"/>
    <n v="77"/>
    <x v="1"/>
    <x v="1"/>
    <x v="3"/>
    <x v="8"/>
    <x v="1"/>
    <n v="26157"/>
    <n v="71.760000000000005"/>
    <n v="58.16"/>
    <n v="28.54"/>
    <n v="55.86"/>
  </r>
  <r>
    <s v="2024-02-06"/>
    <x v="1"/>
    <x v="6"/>
    <s v="DOGE"/>
    <n v="212369555257.57001"/>
    <n v="67876.92"/>
    <n v="4348616689.5900002"/>
    <n v="7542272"/>
    <n v="7658521"/>
    <n v="8606117"/>
    <n v="30.2"/>
    <n v="2.81"/>
    <n v="-17.78"/>
    <n v="-14.64"/>
    <n v="80"/>
    <x v="1"/>
    <x v="4"/>
    <x v="2"/>
    <x v="4"/>
    <x v="0"/>
    <n v="37493"/>
    <n v="64.59"/>
    <n v="46.86"/>
    <n v="29.31"/>
    <n v="98.33"/>
  </r>
  <r>
    <s v="2024-04-04"/>
    <x v="8"/>
    <x v="9"/>
    <s v="BTC"/>
    <n v="180459941944.94"/>
    <n v="56244.86"/>
    <n v="6228432006.9200001"/>
    <n v="18305835"/>
    <n v="19185723"/>
    <n v="19717136"/>
    <n v="20.53"/>
    <n v="1.96"/>
    <n v="-15.64"/>
    <n v="11.2"/>
    <n v="111"/>
    <x v="3"/>
    <x v="0"/>
    <x v="1"/>
    <x v="9"/>
    <x v="0"/>
    <n v="63827"/>
    <n v="89.87"/>
    <n v="92.51"/>
    <n v="78.489999999999995"/>
    <n v="89.69"/>
  </r>
  <r>
    <s v="2024-11-13"/>
    <x v="3"/>
    <x v="7"/>
    <s v="AVAX"/>
    <n v="186262863097.98001"/>
    <n v="46545.95"/>
    <n v="21594975487.040001"/>
    <n v="12573360"/>
    <n v="17003129"/>
    <n v="17837325"/>
    <n v="49.68"/>
    <n v="3.26"/>
    <n v="-1.6"/>
    <n v="-8.17"/>
    <n v="6"/>
    <x v="4"/>
    <x v="3"/>
    <x v="0"/>
    <x v="0"/>
    <x v="1"/>
    <n v="12055"/>
    <n v="28.73"/>
    <n v="25.84"/>
    <n v="11.87"/>
    <n v="63.59"/>
  </r>
  <r>
    <s v="2024-05-24"/>
    <x v="6"/>
    <x v="3"/>
    <s v="SOL"/>
    <n v="372562278948.5"/>
    <n v="31759.88"/>
    <n v="78360976.450000003"/>
    <n v="5797465"/>
    <n v="10508427"/>
    <n v="11146745"/>
    <n v="24.97"/>
    <n v="3.72"/>
    <n v="4.26"/>
    <n v="-5.54"/>
    <n v="47"/>
    <x v="1"/>
    <x v="3"/>
    <x v="2"/>
    <x v="5"/>
    <x v="1"/>
    <n v="30629"/>
    <n v="27.45"/>
    <n v="64.17"/>
    <n v="77.290000000000006"/>
    <n v="40.5"/>
  </r>
  <r>
    <s v="2024-02-04"/>
    <x v="1"/>
    <x v="5"/>
    <s v="XRP"/>
    <n v="750212072925.68994"/>
    <n v="50373.11"/>
    <n v="5608238358.7399998"/>
    <n v="10358809"/>
    <n v="13368904"/>
    <n v="13923036"/>
    <n v="26.21"/>
    <n v="-1.26"/>
    <n v="11.3"/>
    <n v="8.85"/>
    <n v="51"/>
    <x v="2"/>
    <x v="3"/>
    <x v="1"/>
    <x v="8"/>
    <x v="2"/>
    <n v="23079"/>
    <n v="26.85"/>
    <n v="94.33"/>
    <n v="33.46"/>
    <n v="22.7"/>
  </r>
  <r>
    <s v="2024-03-19"/>
    <x v="9"/>
    <x v="4"/>
    <s v="DOT"/>
    <n v="335895230522.39001"/>
    <n v="44652.36"/>
    <n v="16897260783.9"/>
    <n v="4889417"/>
    <n v="5229714"/>
    <n v="5786756"/>
    <n v="44.56"/>
    <n v="2.91"/>
    <n v="-0.7"/>
    <n v="-13.12"/>
    <n v="176"/>
    <x v="2"/>
    <x v="1"/>
    <x v="3"/>
    <x v="0"/>
    <x v="1"/>
    <n v="11625"/>
    <n v="18.399999999999999"/>
    <n v="50.83"/>
    <n v="96.82"/>
    <n v="24.98"/>
  </r>
  <r>
    <s v="2024-07-13"/>
    <x v="0"/>
    <x v="8"/>
    <s v="ETH"/>
    <n v="548020015739.03003"/>
    <n v="49020"/>
    <n v="28683129564.77"/>
    <n v="8201159"/>
    <n v="12619796"/>
    <n v="13112724"/>
    <n v="12.41"/>
    <n v="2.98"/>
    <n v="16"/>
    <n v="-8.6"/>
    <n v="119"/>
    <x v="3"/>
    <x v="4"/>
    <x v="0"/>
    <x v="3"/>
    <x v="1"/>
    <n v="33487"/>
    <n v="11.18"/>
    <n v="86.93"/>
    <n v="56.04"/>
    <n v="40.82"/>
  </r>
  <r>
    <s v="2024-07-03"/>
    <x v="0"/>
    <x v="5"/>
    <s v="XRP"/>
    <n v="38214515681.900002"/>
    <n v="43588.73"/>
    <n v="10488876905.67"/>
    <n v="17652691"/>
    <n v="21629365"/>
    <n v="22106854"/>
    <n v="9.3699999999999992"/>
    <n v="-2.82"/>
    <n v="16.59"/>
    <n v="25.03"/>
    <n v="144"/>
    <x v="3"/>
    <x v="3"/>
    <x v="3"/>
    <x v="12"/>
    <x v="2"/>
    <n v="44351"/>
    <n v="22.51"/>
    <n v="89.05"/>
    <n v="14.81"/>
    <n v="20.97"/>
  </r>
  <r>
    <s v="2024-09-18"/>
    <x v="11"/>
    <x v="5"/>
    <s v="XRP"/>
    <n v="750749092133.25"/>
    <n v="13171.54"/>
    <n v="2690595287.5700002"/>
    <n v="13274610"/>
    <n v="14935385"/>
    <n v="15919570"/>
    <n v="57.92"/>
    <n v="-3.77"/>
    <n v="19.77"/>
    <n v="18.03"/>
    <n v="150"/>
    <x v="1"/>
    <x v="1"/>
    <x v="0"/>
    <x v="2"/>
    <x v="2"/>
    <n v="59721"/>
    <n v="31.17"/>
    <n v="63.55"/>
    <n v="36.520000000000003"/>
    <n v="76.33"/>
  </r>
  <r>
    <s v="2024-03-24"/>
    <x v="9"/>
    <x v="0"/>
    <s v="LTC"/>
    <n v="694644721322.31006"/>
    <n v="45257.75"/>
    <n v="26203937434.130001"/>
    <n v="1575180"/>
    <n v="4403683"/>
    <n v="5102907"/>
    <n v="20.03"/>
    <n v="-2.16"/>
    <n v="1.6"/>
    <n v="-14.44"/>
    <n v="87"/>
    <x v="2"/>
    <x v="4"/>
    <x v="3"/>
    <x v="9"/>
    <x v="0"/>
    <n v="13863"/>
    <n v="98.7"/>
    <n v="72.52"/>
    <n v="35.04"/>
    <n v="59.8"/>
  </r>
  <r>
    <s v="2024-08-12"/>
    <x v="5"/>
    <x v="4"/>
    <s v="DOT"/>
    <n v="19600361280.529999"/>
    <n v="18454.03"/>
    <n v="49479374783.019997"/>
    <n v="2923367"/>
    <n v="4614902"/>
    <n v="5048625"/>
    <n v="45.95"/>
    <n v="-2.77"/>
    <n v="-4.1900000000000004"/>
    <n v="6.24"/>
    <n v="198"/>
    <x v="1"/>
    <x v="0"/>
    <x v="2"/>
    <x v="11"/>
    <x v="1"/>
    <n v="40521"/>
    <n v="60.15"/>
    <n v="28.97"/>
    <n v="53.93"/>
    <n v="52.91"/>
  </r>
  <r>
    <s v="2024-09-05"/>
    <x v="11"/>
    <x v="5"/>
    <s v="XRP"/>
    <n v="445220723806.90997"/>
    <n v="56819.89"/>
    <n v="47350555534.110001"/>
    <n v="15174963"/>
    <n v="15261236"/>
    <n v="15424489"/>
    <n v="43.61"/>
    <n v="0.31"/>
    <n v="3.47"/>
    <n v="25.27"/>
    <n v="70"/>
    <x v="2"/>
    <x v="0"/>
    <x v="3"/>
    <x v="4"/>
    <x v="2"/>
    <n v="4537"/>
    <n v="93.54"/>
    <n v="32.82"/>
    <n v="18.850000000000001"/>
    <n v="77.64"/>
  </r>
  <r>
    <s v="2024-11-03"/>
    <x v="3"/>
    <x v="8"/>
    <s v="ETH"/>
    <n v="332313333608.98999"/>
    <n v="23420.59"/>
    <n v="44773707437.510002"/>
    <n v="18462446"/>
    <n v="18629260"/>
    <n v="19414995"/>
    <n v="48.33"/>
    <n v="1.77"/>
    <n v="-7.94"/>
    <n v="-27.31"/>
    <n v="7"/>
    <x v="3"/>
    <x v="4"/>
    <x v="2"/>
    <x v="8"/>
    <x v="1"/>
    <n v="56434"/>
    <n v="12.67"/>
    <n v="65.88"/>
    <n v="27.84"/>
    <n v="51.79"/>
  </r>
  <r>
    <s v="2024-01-29"/>
    <x v="2"/>
    <x v="1"/>
    <s v="BNB"/>
    <n v="643928727308.94995"/>
    <n v="35066.57"/>
    <n v="15308440405.23"/>
    <n v="14852615"/>
    <n v="16478399"/>
    <n v="17142590"/>
    <n v="2.42"/>
    <n v="-2.92"/>
    <n v="0.25"/>
    <n v="-26.94"/>
    <n v="41"/>
    <x v="1"/>
    <x v="4"/>
    <x v="0"/>
    <x v="11"/>
    <x v="1"/>
    <n v="49041"/>
    <n v="79.63"/>
    <n v="21.11"/>
    <n v="56.75"/>
    <n v="80.959999999999994"/>
  </r>
  <r>
    <s v="2024-03-24"/>
    <x v="9"/>
    <x v="8"/>
    <s v="ETH"/>
    <n v="237830621896.59"/>
    <n v="28006.06"/>
    <n v="26714411783.830002"/>
    <n v="11069097"/>
    <n v="12322975"/>
    <n v="13269136"/>
    <n v="46.21"/>
    <n v="-0.13"/>
    <n v="18.809999999999999"/>
    <n v="3.38"/>
    <n v="195"/>
    <x v="2"/>
    <x v="3"/>
    <x v="0"/>
    <x v="0"/>
    <x v="1"/>
    <n v="34704"/>
    <n v="77.89"/>
    <n v="49.23"/>
    <n v="88.59"/>
    <n v="45.55"/>
  </r>
  <r>
    <s v="2024-05-30"/>
    <x v="6"/>
    <x v="1"/>
    <s v="BNB"/>
    <n v="127779385850.03"/>
    <n v="45123.78"/>
    <n v="13130219706.860001"/>
    <n v="9237176"/>
    <n v="12540133"/>
    <n v="12814606"/>
    <n v="43.14"/>
    <n v="-4.9000000000000004"/>
    <n v="-13.32"/>
    <n v="-11.25"/>
    <n v="100"/>
    <x v="2"/>
    <x v="0"/>
    <x v="1"/>
    <x v="10"/>
    <x v="1"/>
    <n v="48010"/>
    <n v="24.92"/>
    <n v="69.36"/>
    <n v="94.03"/>
    <n v="71.040000000000006"/>
  </r>
  <r>
    <s v="2024-06-22"/>
    <x v="7"/>
    <x v="0"/>
    <s v="LTC"/>
    <n v="186570560631.38"/>
    <n v="28395.18"/>
    <n v="12706352675.99"/>
    <n v="14523867"/>
    <n v="18760279"/>
    <n v="19704562"/>
    <n v="56.65"/>
    <n v="1.04"/>
    <n v="-18.27"/>
    <n v="-7.86"/>
    <n v="5"/>
    <x v="4"/>
    <x v="3"/>
    <x v="1"/>
    <x v="8"/>
    <x v="0"/>
    <n v="39955"/>
    <n v="96.06"/>
    <n v="92.75"/>
    <n v="20.47"/>
    <n v="30.04"/>
  </r>
  <r>
    <s v="2024-03-24"/>
    <x v="9"/>
    <x v="8"/>
    <s v="ETH"/>
    <n v="425098443313"/>
    <n v="67818.25"/>
    <n v="8313862337.9899998"/>
    <n v="15176421"/>
    <n v="16336046"/>
    <n v="16450019"/>
    <n v="3.12"/>
    <n v="0.11"/>
    <n v="7.15"/>
    <n v="5.96"/>
    <n v="122"/>
    <x v="1"/>
    <x v="3"/>
    <x v="3"/>
    <x v="12"/>
    <x v="1"/>
    <n v="60864"/>
    <n v="47.96"/>
    <n v="99.24"/>
    <n v="55.5"/>
    <n v="77.31"/>
  </r>
  <r>
    <s v="2024-06-01"/>
    <x v="7"/>
    <x v="1"/>
    <s v="BNB"/>
    <n v="448365325500.63"/>
    <n v="41223.919999999998"/>
    <n v="37960948337.239998"/>
    <n v="3627233"/>
    <n v="6641352"/>
    <n v="7123927"/>
    <n v="13.43"/>
    <n v="-4.3499999999999996"/>
    <n v="-13.44"/>
    <n v="-25.42"/>
    <n v="30"/>
    <x v="0"/>
    <x v="3"/>
    <x v="1"/>
    <x v="8"/>
    <x v="1"/>
    <n v="61573"/>
    <n v="59.42"/>
    <n v="53.91"/>
    <n v="25.77"/>
    <n v="51.73"/>
  </r>
  <r>
    <s v="2024-10-04"/>
    <x v="10"/>
    <x v="2"/>
    <s v="ADA"/>
    <n v="732984780212.32996"/>
    <n v="46901.09"/>
    <n v="10744001802.09"/>
    <n v="16201402"/>
    <n v="18949957"/>
    <n v="19704654"/>
    <n v="23.7"/>
    <n v="-2.52"/>
    <n v="-17.88"/>
    <n v="6.8"/>
    <n v="95"/>
    <x v="4"/>
    <x v="2"/>
    <x v="1"/>
    <x v="0"/>
    <x v="1"/>
    <n v="25069"/>
    <n v="33.200000000000003"/>
    <n v="88.38"/>
    <n v="25.47"/>
    <n v="75.12"/>
  </r>
  <r>
    <s v="2024-01-24"/>
    <x v="2"/>
    <x v="7"/>
    <s v="AVAX"/>
    <n v="508363388806.63"/>
    <n v="11089.79"/>
    <n v="14890538558.190001"/>
    <n v="1581218"/>
    <n v="3330083"/>
    <n v="3788035"/>
    <n v="1.58"/>
    <n v="0.17"/>
    <n v="-16.82"/>
    <n v="2.73"/>
    <n v="199"/>
    <x v="4"/>
    <x v="3"/>
    <x v="3"/>
    <x v="3"/>
    <x v="1"/>
    <n v="1703"/>
    <n v="57.78"/>
    <n v="61.82"/>
    <n v="88.84"/>
    <n v="49.28"/>
  </r>
  <r>
    <s v="2024-03-05"/>
    <x v="9"/>
    <x v="4"/>
    <s v="DOT"/>
    <n v="427004936381.63"/>
    <n v="3670.8"/>
    <n v="29746986921.43"/>
    <n v="1989396"/>
    <n v="3953798"/>
    <n v="4386729"/>
    <n v="33.86"/>
    <n v="-4.46"/>
    <n v="-5.9"/>
    <n v="14.9"/>
    <n v="58"/>
    <x v="0"/>
    <x v="4"/>
    <x v="4"/>
    <x v="3"/>
    <x v="1"/>
    <n v="4683"/>
    <n v="78.040000000000006"/>
    <n v="55.37"/>
    <n v="92.51"/>
    <n v="93.3"/>
  </r>
  <r>
    <s v="2024-11-21"/>
    <x v="3"/>
    <x v="8"/>
    <s v="ETH"/>
    <n v="442956710543.29999"/>
    <n v="55947.47"/>
    <n v="44669249292.940002"/>
    <n v="18650411"/>
    <n v="21489238"/>
    <n v="22070281"/>
    <n v="49.14"/>
    <n v="3.13"/>
    <n v="-15.95"/>
    <n v="-33.200000000000003"/>
    <n v="199"/>
    <x v="4"/>
    <x v="1"/>
    <x v="0"/>
    <x v="1"/>
    <x v="1"/>
    <n v="7806"/>
    <n v="19.62"/>
    <n v="40.54"/>
    <n v="48.95"/>
    <n v="19.850000000000001"/>
  </r>
  <r>
    <s v="2024-08-16"/>
    <x v="5"/>
    <x v="2"/>
    <s v="ADA"/>
    <n v="892534323329.16003"/>
    <n v="22360.1"/>
    <n v="11362765962.65"/>
    <n v="13815559"/>
    <n v="16530190"/>
    <n v="17420471"/>
    <n v="51.14"/>
    <n v="2.73"/>
    <n v="-11.78"/>
    <n v="-18.34"/>
    <n v="81"/>
    <x v="0"/>
    <x v="4"/>
    <x v="1"/>
    <x v="5"/>
    <x v="1"/>
    <n v="59728"/>
    <n v="57.95"/>
    <n v="27.28"/>
    <n v="60.86"/>
    <n v="34.229999999999997"/>
  </r>
  <r>
    <s v="2024-01-29"/>
    <x v="2"/>
    <x v="9"/>
    <s v="BTC"/>
    <n v="224739250326.07999"/>
    <n v="15180.3"/>
    <n v="14748806442.82"/>
    <n v="13040428"/>
    <n v="17329837"/>
    <n v="17760706"/>
    <n v="20.04"/>
    <n v="-3.48"/>
    <n v="19.760000000000002"/>
    <n v="-32.42"/>
    <n v="102"/>
    <x v="1"/>
    <x v="0"/>
    <x v="3"/>
    <x v="5"/>
    <x v="0"/>
    <n v="25546"/>
    <n v="70.08"/>
    <n v="91.96"/>
    <n v="74.89"/>
    <n v="13.41"/>
  </r>
  <r>
    <s v="2024-02-06"/>
    <x v="1"/>
    <x v="6"/>
    <s v="DOGE"/>
    <n v="147329068566.48999"/>
    <n v="28042.07"/>
    <n v="43835008883.25"/>
    <n v="17531698"/>
    <n v="22322054"/>
    <n v="23032675"/>
    <n v="1.21"/>
    <n v="0.53"/>
    <n v="16.59"/>
    <n v="-38.97"/>
    <n v="8"/>
    <x v="3"/>
    <x v="0"/>
    <x v="4"/>
    <x v="6"/>
    <x v="0"/>
    <n v="24423"/>
    <n v="54.64"/>
    <n v="42.39"/>
    <n v="64.78"/>
    <n v="91.11"/>
  </r>
  <r>
    <s v="2024-10-06"/>
    <x v="10"/>
    <x v="5"/>
    <s v="XRP"/>
    <n v="480148223498.65997"/>
    <n v="55858.2"/>
    <n v="34137306176.16"/>
    <n v="2753897"/>
    <n v="6697080"/>
    <n v="6862973"/>
    <n v="10.56"/>
    <n v="-0.18"/>
    <n v="3.65"/>
    <n v="14.02"/>
    <n v="89"/>
    <x v="3"/>
    <x v="4"/>
    <x v="4"/>
    <x v="13"/>
    <x v="2"/>
    <n v="30003"/>
    <n v="73.31"/>
    <n v="36.700000000000003"/>
    <n v="11.48"/>
    <n v="87.6"/>
  </r>
  <r>
    <s v="2024-02-19"/>
    <x v="1"/>
    <x v="3"/>
    <s v="SOL"/>
    <n v="871945997268.48999"/>
    <n v="24897.27"/>
    <n v="36275663681.269997"/>
    <n v="1929791"/>
    <n v="4343381"/>
    <n v="4552967"/>
    <n v="4.42"/>
    <n v="-2.0499999999999998"/>
    <n v="-9.4499999999999993"/>
    <n v="-18.399999999999999"/>
    <n v="14"/>
    <x v="4"/>
    <x v="1"/>
    <x v="3"/>
    <x v="6"/>
    <x v="1"/>
    <n v="62813"/>
    <n v="97.18"/>
    <n v="58.13"/>
    <n v="66.61"/>
    <n v="93.78"/>
  </r>
  <r>
    <s v="2024-07-28"/>
    <x v="0"/>
    <x v="4"/>
    <s v="DOT"/>
    <n v="670928792862"/>
    <n v="42169.02"/>
    <n v="43275932391.230003"/>
    <n v="5481141"/>
    <n v="6612064"/>
    <n v="6924366"/>
    <n v="4.18"/>
    <n v="0.26"/>
    <n v="9.25"/>
    <n v="-23.02"/>
    <n v="16"/>
    <x v="3"/>
    <x v="1"/>
    <x v="1"/>
    <x v="6"/>
    <x v="1"/>
    <n v="3071"/>
    <n v="17.45"/>
    <n v="92.34"/>
    <n v="73.349999999999994"/>
    <n v="99.95"/>
  </r>
  <r>
    <s v="2024-06-04"/>
    <x v="7"/>
    <x v="2"/>
    <s v="ADA"/>
    <n v="346424839610.17999"/>
    <n v="12009.69"/>
    <n v="11751122651.440001"/>
    <n v="2974938"/>
    <n v="4567157"/>
    <n v="4739782"/>
    <n v="25.7"/>
    <n v="-4.5199999999999996"/>
    <n v="16.809999999999999"/>
    <n v="-18.23"/>
    <n v="3"/>
    <x v="3"/>
    <x v="0"/>
    <x v="3"/>
    <x v="8"/>
    <x v="1"/>
    <n v="62971"/>
    <n v="12.28"/>
    <n v="28.29"/>
    <n v="38.590000000000003"/>
    <n v="41.87"/>
  </r>
  <r>
    <s v="2024-08-11"/>
    <x v="5"/>
    <x v="2"/>
    <s v="ADA"/>
    <n v="662293152205.75"/>
    <n v="26278.720000000001"/>
    <n v="648383817.28999996"/>
    <n v="3806945"/>
    <n v="8106251"/>
    <n v="8178494"/>
    <n v="48.46"/>
    <n v="3.46"/>
    <n v="-8.36"/>
    <n v="20.05"/>
    <n v="187"/>
    <x v="4"/>
    <x v="0"/>
    <x v="4"/>
    <x v="12"/>
    <x v="1"/>
    <n v="25890"/>
    <n v="31.1"/>
    <n v="98.64"/>
    <n v="76.069999999999993"/>
    <n v="72.73"/>
  </r>
  <r>
    <s v="2024-04-13"/>
    <x v="8"/>
    <x v="3"/>
    <s v="SOL"/>
    <n v="123783669888.34"/>
    <n v="54185.79"/>
    <n v="36204090485.879997"/>
    <n v="10800548"/>
    <n v="14381299"/>
    <n v="15363067"/>
    <n v="32.06"/>
    <n v="4.47"/>
    <n v="19.04"/>
    <n v="7.67"/>
    <n v="195"/>
    <x v="3"/>
    <x v="1"/>
    <x v="4"/>
    <x v="9"/>
    <x v="1"/>
    <n v="47782"/>
    <n v="28.2"/>
    <n v="90.06"/>
    <n v="19.43"/>
    <n v="43.66"/>
  </r>
  <r>
    <s v="2024-06-06"/>
    <x v="7"/>
    <x v="8"/>
    <s v="ETH"/>
    <n v="617282169559.33997"/>
    <n v="18292.830000000002"/>
    <n v="42777082380.639999"/>
    <n v="6895390"/>
    <n v="8588733"/>
    <n v="8617953"/>
    <n v="1.37"/>
    <n v="2.71"/>
    <n v="-12.46"/>
    <n v="-12.14"/>
    <n v="67"/>
    <x v="3"/>
    <x v="1"/>
    <x v="3"/>
    <x v="8"/>
    <x v="1"/>
    <n v="4326"/>
    <n v="63.63"/>
    <n v="66.92"/>
    <n v="72.040000000000006"/>
    <n v="16.059999999999999"/>
  </r>
  <r>
    <s v="2024-12-18"/>
    <x v="4"/>
    <x v="6"/>
    <s v="DOGE"/>
    <n v="92788092632.600006"/>
    <n v="67616.33"/>
    <n v="29508663171.169998"/>
    <n v="12711379"/>
    <n v="17230167"/>
    <n v="18069413"/>
    <n v="36.32"/>
    <n v="2.35"/>
    <n v="18.260000000000002"/>
    <n v="-25.85"/>
    <n v="155"/>
    <x v="3"/>
    <x v="4"/>
    <x v="3"/>
    <x v="9"/>
    <x v="0"/>
    <n v="63792"/>
    <n v="15.58"/>
    <n v="44.32"/>
    <n v="31.51"/>
    <n v="72.11"/>
  </r>
  <r>
    <s v="2024-11-22"/>
    <x v="3"/>
    <x v="9"/>
    <s v="BTC"/>
    <n v="54901891384.029999"/>
    <n v="5079.0600000000004"/>
    <n v="10568727014.639999"/>
    <n v="4963456"/>
    <n v="7668654"/>
    <n v="8577569"/>
    <n v="0.59"/>
    <n v="-2.23"/>
    <n v="2.11"/>
    <n v="-37.81"/>
    <n v="32"/>
    <x v="3"/>
    <x v="1"/>
    <x v="2"/>
    <x v="9"/>
    <x v="0"/>
    <n v="1139"/>
    <n v="59.07"/>
    <n v="64.05"/>
    <n v="81.44"/>
    <n v="33.92"/>
  </r>
  <r>
    <s v="2024-06-08"/>
    <x v="7"/>
    <x v="3"/>
    <s v="SOL"/>
    <n v="369549794920.09998"/>
    <n v="23844.83"/>
    <n v="1660427960.73"/>
    <n v="18323150"/>
    <n v="21551545"/>
    <n v="22430199"/>
    <n v="56.32"/>
    <n v="-1.3"/>
    <n v="-18.05"/>
    <n v="-15.92"/>
    <n v="134"/>
    <x v="2"/>
    <x v="1"/>
    <x v="0"/>
    <x v="9"/>
    <x v="1"/>
    <n v="54198"/>
    <n v="67.41"/>
    <n v="91.15"/>
    <n v="74.45"/>
    <n v="12.1"/>
  </r>
  <r>
    <s v="2024-03-30"/>
    <x v="9"/>
    <x v="7"/>
    <s v="AVAX"/>
    <n v="662513503213.68994"/>
    <n v="66771.350000000006"/>
    <n v="3431715884.3499999"/>
    <n v="14948023"/>
    <n v="18920418"/>
    <n v="19123362"/>
    <n v="14.01"/>
    <n v="-2.5"/>
    <n v="3.8"/>
    <n v="-21.55"/>
    <n v="138"/>
    <x v="1"/>
    <x v="3"/>
    <x v="2"/>
    <x v="9"/>
    <x v="1"/>
    <n v="20404"/>
    <n v="75.819999999999993"/>
    <n v="29.21"/>
    <n v="15.44"/>
    <n v="40.51"/>
  </r>
  <r>
    <s v="2024-09-16"/>
    <x v="11"/>
    <x v="4"/>
    <s v="DOT"/>
    <n v="271599263056.94"/>
    <n v="24780.98"/>
    <n v="1621845156.1099999"/>
    <n v="13092617"/>
    <n v="16201865"/>
    <n v="17086050"/>
    <n v="20.02"/>
    <n v="3.76"/>
    <n v="-18.7"/>
    <n v="-25.74"/>
    <n v="93"/>
    <x v="3"/>
    <x v="0"/>
    <x v="3"/>
    <x v="0"/>
    <x v="1"/>
    <n v="39821"/>
    <n v="66.28"/>
    <n v="33.4"/>
    <n v="60.12"/>
    <n v="51.05"/>
  </r>
  <r>
    <s v="2024-09-21"/>
    <x v="11"/>
    <x v="0"/>
    <s v="LTC"/>
    <n v="749993552931"/>
    <n v="54112.54"/>
    <n v="16010966160.6"/>
    <n v="7654682"/>
    <n v="12290438"/>
    <n v="12537507"/>
    <n v="14.61"/>
    <n v="3.18"/>
    <n v="-12.13"/>
    <n v="15.86"/>
    <n v="91"/>
    <x v="3"/>
    <x v="0"/>
    <x v="1"/>
    <x v="1"/>
    <x v="0"/>
    <n v="3594"/>
    <n v="36.9"/>
    <n v="89.78"/>
    <n v="47.15"/>
    <n v="57.83"/>
  </r>
  <r>
    <s v="2024-08-04"/>
    <x v="5"/>
    <x v="1"/>
    <s v="BNB"/>
    <n v="869307814388.53003"/>
    <n v="37674.879999999997"/>
    <n v="3220003452.9499998"/>
    <n v="1275255"/>
    <n v="1319401"/>
    <n v="1529177"/>
    <n v="43.94"/>
    <n v="-2.3199999999999998"/>
    <n v="-10.26"/>
    <n v="3.48"/>
    <n v="3"/>
    <x v="2"/>
    <x v="1"/>
    <x v="0"/>
    <x v="4"/>
    <x v="1"/>
    <n v="55246"/>
    <n v="15.79"/>
    <n v="96.19"/>
    <n v="65.17"/>
    <n v="66.510000000000005"/>
  </r>
  <r>
    <s v="2024-08-08"/>
    <x v="5"/>
    <x v="9"/>
    <s v="BTC"/>
    <n v="488354000362.07001"/>
    <n v="68338.83"/>
    <n v="37504524479.919998"/>
    <n v="3515711"/>
    <n v="6116860"/>
    <n v="6591872"/>
    <n v="2.0299999999999998"/>
    <n v="-4.1500000000000004"/>
    <n v="-0.09"/>
    <n v="27.62"/>
    <n v="55"/>
    <x v="3"/>
    <x v="2"/>
    <x v="4"/>
    <x v="0"/>
    <x v="0"/>
    <n v="3931"/>
    <n v="82.75"/>
    <n v="28.69"/>
    <n v="59.9"/>
    <n v="93.71"/>
  </r>
  <r>
    <s v="2024-11-01"/>
    <x v="3"/>
    <x v="9"/>
    <s v="BTC"/>
    <n v="769288719400.35999"/>
    <n v="17217.38"/>
    <n v="22153043240.220001"/>
    <n v="16605091"/>
    <n v="18161925"/>
    <n v="18732905"/>
    <n v="58.4"/>
    <n v="-2.33"/>
    <n v="13.11"/>
    <n v="-36.08"/>
    <n v="85"/>
    <x v="0"/>
    <x v="4"/>
    <x v="4"/>
    <x v="2"/>
    <x v="0"/>
    <n v="21448"/>
    <n v="66.75"/>
    <n v="64.66"/>
    <n v="10.99"/>
    <n v="61.72"/>
  </r>
  <r>
    <s v="2024-12-03"/>
    <x v="4"/>
    <x v="6"/>
    <s v="DOGE"/>
    <n v="21431373858.049999"/>
    <n v="56584.24"/>
    <n v="49438037199.769997"/>
    <n v="15357266"/>
    <n v="15415582"/>
    <n v="16241599"/>
    <n v="5.94"/>
    <n v="3.77"/>
    <n v="-14.71"/>
    <n v="39.68"/>
    <n v="137"/>
    <x v="1"/>
    <x v="0"/>
    <x v="3"/>
    <x v="10"/>
    <x v="0"/>
    <n v="22918"/>
    <n v="87.52"/>
    <n v="49.69"/>
    <n v="51.64"/>
    <n v="46.47"/>
  </r>
  <r>
    <s v="2024-01-12"/>
    <x v="2"/>
    <x v="3"/>
    <s v="SOL"/>
    <n v="686930879670.85999"/>
    <n v="23770.07"/>
    <n v="16459188409.969999"/>
    <n v="13006816"/>
    <n v="13089534"/>
    <n v="13177661"/>
    <n v="49.45"/>
    <n v="4.58"/>
    <n v="-10.01"/>
    <n v="-1.23"/>
    <n v="106"/>
    <x v="4"/>
    <x v="3"/>
    <x v="2"/>
    <x v="13"/>
    <x v="1"/>
    <n v="50800"/>
    <n v="60.34"/>
    <n v="62.43"/>
    <n v="82.93"/>
    <n v="94.19"/>
  </r>
  <r>
    <s v="2024-03-14"/>
    <x v="9"/>
    <x v="3"/>
    <s v="SOL"/>
    <n v="463121796910.48999"/>
    <n v="23288.66"/>
    <n v="30651907506.040001"/>
    <n v="13363290"/>
    <n v="17910150"/>
    <n v="18567763"/>
    <n v="52.26"/>
    <n v="4.16"/>
    <n v="-13.26"/>
    <n v="31.67"/>
    <n v="123"/>
    <x v="0"/>
    <x v="3"/>
    <x v="4"/>
    <x v="2"/>
    <x v="1"/>
    <n v="28106"/>
    <n v="52.03"/>
    <n v="28.58"/>
    <n v="45.3"/>
    <n v="70.099999999999994"/>
  </r>
  <r>
    <s v="2024-12-28"/>
    <x v="4"/>
    <x v="8"/>
    <s v="ETH"/>
    <n v="811525417803.06995"/>
    <n v="62413.52"/>
    <n v="29286442854.869999"/>
    <n v="6128086"/>
    <n v="10787557"/>
    <n v="11649148"/>
    <n v="1.1599999999999999"/>
    <n v="2.86"/>
    <n v="-14.25"/>
    <n v="-3.54"/>
    <n v="72"/>
    <x v="3"/>
    <x v="0"/>
    <x v="0"/>
    <x v="6"/>
    <x v="1"/>
    <n v="45932"/>
    <n v="86.14"/>
    <n v="75.87"/>
    <n v="49.99"/>
    <n v="26.78"/>
  </r>
  <r>
    <s v="2024-01-24"/>
    <x v="2"/>
    <x v="1"/>
    <s v="BNB"/>
    <n v="207284732589.51999"/>
    <n v="68756.800000000003"/>
    <n v="33860004246.529999"/>
    <n v="2784123"/>
    <n v="5873418"/>
    <n v="6171821"/>
    <n v="31.11"/>
    <n v="2.86"/>
    <n v="-12.72"/>
    <n v="28.8"/>
    <n v="171"/>
    <x v="1"/>
    <x v="3"/>
    <x v="0"/>
    <x v="1"/>
    <x v="1"/>
    <n v="32026"/>
    <n v="20.72"/>
    <n v="61.4"/>
    <n v="88.87"/>
    <n v="12.39"/>
  </r>
  <r>
    <s v="2024-06-08"/>
    <x v="7"/>
    <x v="2"/>
    <s v="ADA"/>
    <n v="556251515482.48999"/>
    <n v="20816.349999999999"/>
    <n v="25373436775.549999"/>
    <n v="4804072"/>
    <n v="8741711"/>
    <n v="9005966"/>
    <n v="39.83"/>
    <n v="-2.65"/>
    <n v="-3.85"/>
    <n v="-20.77"/>
    <n v="45"/>
    <x v="0"/>
    <x v="2"/>
    <x v="1"/>
    <x v="10"/>
    <x v="1"/>
    <n v="14720"/>
    <n v="49.51"/>
    <n v="22.74"/>
    <n v="13.24"/>
    <n v="98.38"/>
  </r>
  <r>
    <s v="2024-02-21"/>
    <x v="1"/>
    <x v="0"/>
    <s v="LTC"/>
    <n v="117857247652.74001"/>
    <n v="39754.29"/>
    <n v="9062793906.9799995"/>
    <n v="16193719"/>
    <n v="19867240"/>
    <n v="20668988"/>
    <n v="2.38"/>
    <n v="-1.71"/>
    <n v="-12.01"/>
    <n v="5.8"/>
    <n v="66"/>
    <x v="2"/>
    <x v="2"/>
    <x v="0"/>
    <x v="1"/>
    <x v="0"/>
    <n v="40203"/>
    <n v="70.81"/>
    <n v="63.86"/>
    <n v="30.24"/>
    <n v="68.989999999999995"/>
  </r>
  <r>
    <s v="2024-01-05"/>
    <x v="2"/>
    <x v="2"/>
    <s v="ADA"/>
    <n v="592081696274.87"/>
    <n v="2025.76"/>
    <n v="32880021187.450001"/>
    <n v="7185537"/>
    <n v="11771104"/>
    <n v="11994248"/>
    <n v="59"/>
    <n v="4.79"/>
    <n v="17"/>
    <n v="-26.49"/>
    <n v="179"/>
    <x v="3"/>
    <x v="3"/>
    <x v="0"/>
    <x v="0"/>
    <x v="1"/>
    <n v="10509"/>
    <n v="53.01"/>
    <n v="50.37"/>
    <n v="46.57"/>
    <n v="61.31"/>
  </r>
  <r>
    <s v="2024-07-23"/>
    <x v="0"/>
    <x v="2"/>
    <s v="ADA"/>
    <n v="558069857357.01001"/>
    <n v="64457.87"/>
    <n v="22389429332.779999"/>
    <n v="8165491"/>
    <n v="9001543"/>
    <n v="9625582"/>
    <n v="45.94"/>
    <n v="3.49"/>
    <n v="7.33"/>
    <n v="-4.12"/>
    <n v="112"/>
    <x v="2"/>
    <x v="3"/>
    <x v="3"/>
    <x v="13"/>
    <x v="1"/>
    <n v="7365"/>
    <n v="53.4"/>
    <n v="64.400000000000006"/>
    <n v="19.66"/>
    <n v="90.43"/>
  </r>
  <r>
    <s v="2024-10-10"/>
    <x v="10"/>
    <x v="5"/>
    <s v="XRP"/>
    <n v="534627227045.83002"/>
    <n v="11571.54"/>
    <n v="24442951799.970001"/>
    <n v="6838150"/>
    <n v="7904809"/>
    <n v="7920535"/>
    <n v="15.14"/>
    <n v="3.01"/>
    <n v="5.52"/>
    <n v="-17.32"/>
    <n v="54"/>
    <x v="4"/>
    <x v="0"/>
    <x v="0"/>
    <x v="12"/>
    <x v="2"/>
    <n v="60849"/>
    <n v="21.06"/>
    <n v="32.479999999999997"/>
    <n v="38.619999999999997"/>
    <n v="59.93"/>
  </r>
  <r>
    <s v="2024-08-28"/>
    <x v="5"/>
    <x v="6"/>
    <s v="DOGE"/>
    <n v="841426628431.43994"/>
    <n v="41761.49"/>
    <n v="5335584620.3199997"/>
    <n v="18373486"/>
    <n v="19182699"/>
    <n v="20017779"/>
    <n v="45.24"/>
    <n v="-2.3199999999999998"/>
    <n v="8.5299999999999994"/>
    <n v="-6.42"/>
    <n v="94"/>
    <x v="0"/>
    <x v="0"/>
    <x v="0"/>
    <x v="13"/>
    <x v="0"/>
    <n v="57114"/>
    <n v="92.45"/>
    <n v="95.71"/>
    <n v="10.35"/>
    <n v="77.48"/>
  </r>
  <r>
    <s v="2024-07-15"/>
    <x v="0"/>
    <x v="7"/>
    <s v="AVAX"/>
    <n v="361378822844.21002"/>
    <n v="4896.6000000000004"/>
    <n v="41382588034.540001"/>
    <n v="9430901"/>
    <n v="14206223"/>
    <n v="14991231"/>
    <n v="53.5"/>
    <n v="-2.12"/>
    <n v="-7.26"/>
    <n v="-39.72"/>
    <n v="57"/>
    <x v="4"/>
    <x v="1"/>
    <x v="2"/>
    <x v="1"/>
    <x v="1"/>
    <n v="63217"/>
    <n v="99.49"/>
    <n v="50.64"/>
    <n v="67.010000000000005"/>
    <n v="74.62"/>
  </r>
  <r>
    <s v="2024-10-30"/>
    <x v="10"/>
    <x v="8"/>
    <s v="ETH"/>
    <n v="661913707578.51001"/>
    <n v="53722.89"/>
    <n v="21303951626.509998"/>
    <n v="13058998"/>
    <n v="17317975"/>
    <n v="18220015"/>
    <n v="55.09"/>
    <n v="-4.16"/>
    <n v="-17.2"/>
    <n v="-33.74"/>
    <n v="198"/>
    <x v="3"/>
    <x v="0"/>
    <x v="3"/>
    <x v="11"/>
    <x v="1"/>
    <n v="20926"/>
    <n v="50.88"/>
    <n v="24"/>
    <n v="33.46"/>
    <n v="11.82"/>
  </r>
  <r>
    <s v="2024-03-19"/>
    <x v="9"/>
    <x v="0"/>
    <s v="LTC"/>
    <n v="258312878151.53"/>
    <n v="32770.61"/>
    <n v="32183547154.41"/>
    <n v="11308988"/>
    <n v="14007962"/>
    <n v="14390613"/>
    <n v="17.149999999999999"/>
    <n v="3.63"/>
    <n v="-12.39"/>
    <n v="-14.66"/>
    <n v="184"/>
    <x v="0"/>
    <x v="4"/>
    <x v="1"/>
    <x v="2"/>
    <x v="0"/>
    <n v="33038"/>
    <n v="73.989999999999995"/>
    <n v="62.16"/>
    <n v="40.229999999999997"/>
    <n v="89.43"/>
  </r>
  <r>
    <s v="2024-10-20"/>
    <x v="10"/>
    <x v="1"/>
    <s v="BNB"/>
    <n v="197286782940.98999"/>
    <n v="42564.91"/>
    <n v="27081600120.860001"/>
    <n v="14113877"/>
    <n v="18372284"/>
    <n v="18912464"/>
    <n v="22.24"/>
    <n v="-2.0699999999999998"/>
    <n v="5.07"/>
    <n v="2.12"/>
    <n v="18"/>
    <x v="2"/>
    <x v="4"/>
    <x v="2"/>
    <x v="12"/>
    <x v="1"/>
    <n v="5140"/>
    <n v="81.22"/>
    <n v="66.14"/>
    <n v="81.62"/>
    <n v="16.77"/>
  </r>
  <r>
    <s v="2024-09-25"/>
    <x v="11"/>
    <x v="6"/>
    <s v="DOGE"/>
    <n v="263107260599.51999"/>
    <n v="51193.24"/>
    <n v="47919611085.43"/>
    <n v="1174539"/>
    <n v="4537044"/>
    <n v="5455738"/>
    <n v="40.96"/>
    <n v="4.7300000000000004"/>
    <n v="0.77"/>
    <n v="-3.7"/>
    <n v="97"/>
    <x v="0"/>
    <x v="2"/>
    <x v="0"/>
    <x v="8"/>
    <x v="0"/>
    <n v="1816"/>
    <n v="62.82"/>
    <n v="87.14"/>
    <n v="95.06"/>
    <n v="69.599999999999994"/>
  </r>
  <r>
    <s v="2024-07-05"/>
    <x v="0"/>
    <x v="6"/>
    <s v="DOGE"/>
    <n v="176804418726.70999"/>
    <n v="59823.07"/>
    <n v="17794011132.18"/>
    <n v="17026745"/>
    <n v="21738678"/>
    <n v="21967051"/>
    <n v="55.92"/>
    <n v="-3.03"/>
    <n v="-17.32"/>
    <n v="39.67"/>
    <n v="161"/>
    <x v="4"/>
    <x v="1"/>
    <x v="3"/>
    <x v="4"/>
    <x v="0"/>
    <n v="25221"/>
    <n v="20.65"/>
    <n v="81.12"/>
    <n v="67.48"/>
    <n v="81.260000000000005"/>
  </r>
  <r>
    <s v="2024-11-20"/>
    <x v="3"/>
    <x v="1"/>
    <s v="BNB"/>
    <n v="436342375693.92999"/>
    <n v="8890.8799999999992"/>
    <n v="8951936011.8799992"/>
    <n v="18275857"/>
    <n v="19302374"/>
    <n v="20133345"/>
    <n v="7.58"/>
    <n v="-3.48"/>
    <n v="-12.29"/>
    <n v="11.44"/>
    <n v="131"/>
    <x v="1"/>
    <x v="0"/>
    <x v="3"/>
    <x v="6"/>
    <x v="1"/>
    <n v="7214"/>
    <n v="18.32"/>
    <n v="44.31"/>
    <n v="64.2"/>
    <n v="31.45"/>
  </r>
  <r>
    <s v="2024-06-27"/>
    <x v="7"/>
    <x v="6"/>
    <s v="DOGE"/>
    <n v="640966669403.96997"/>
    <n v="4424.17"/>
    <n v="8937405452.9300003"/>
    <n v="10221907"/>
    <n v="14542603"/>
    <n v="15014085"/>
    <n v="15.96"/>
    <n v="-3.25"/>
    <n v="-10.19"/>
    <n v="5.58"/>
    <n v="113"/>
    <x v="1"/>
    <x v="2"/>
    <x v="4"/>
    <x v="13"/>
    <x v="0"/>
    <n v="44316"/>
    <n v="86.17"/>
    <n v="58.05"/>
    <n v="28.34"/>
    <n v="49.63"/>
  </r>
  <r>
    <s v="2024-04-19"/>
    <x v="8"/>
    <x v="1"/>
    <s v="BNB"/>
    <n v="320455578596.82001"/>
    <n v="60593.57"/>
    <n v="38602592995.900002"/>
    <n v="13353930"/>
    <n v="17778047"/>
    <n v="18672830"/>
    <n v="55.71"/>
    <n v="2.13"/>
    <n v="-8"/>
    <n v="-24.43"/>
    <n v="48"/>
    <x v="2"/>
    <x v="1"/>
    <x v="1"/>
    <x v="3"/>
    <x v="1"/>
    <n v="51867"/>
    <n v="27.88"/>
    <n v="35.56"/>
    <n v="72.34"/>
    <n v="32.54"/>
  </r>
  <r>
    <s v="2024-04-17"/>
    <x v="8"/>
    <x v="2"/>
    <s v="ADA"/>
    <n v="737868006173.25"/>
    <n v="46863.01"/>
    <n v="37801807582.519997"/>
    <n v="10805502"/>
    <n v="14020960"/>
    <n v="14898731"/>
    <n v="46.77"/>
    <n v="-3.44"/>
    <n v="6.02"/>
    <n v="20.95"/>
    <n v="30"/>
    <x v="2"/>
    <x v="4"/>
    <x v="0"/>
    <x v="1"/>
    <x v="1"/>
    <n v="9946"/>
    <n v="20.88"/>
    <n v="48.59"/>
    <n v="87.72"/>
    <n v="20.82"/>
  </r>
  <r>
    <s v="2024-09-20"/>
    <x v="11"/>
    <x v="5"/>
    <s v="XRP"/>
    <n v="590552331500.75"/>
    <n v="34515.07"/>
    <n v="14808215779.129999"/>
    <n v="7874077"/>
    <n v="10900745"/>
    <n v="11169542"/>
    <n v="4.08"/>
    <n v="-0.68"/>
    <n v="19.25"/>
    <n v="-31.31"/>
    <n v="89"/>
    <x v="0"/>
    <x v="3"/>
    <x v="2"/>
    <x v="8"/>
    <x v="2"/>
    <n v="5705"/>
    <n v="93.99"/>
    <n v="94.17"/>
    <n v="79.09"/>
    <n v="19.73"/>
  </r>
  <r>
    <s v="2024-02-27"/>
    <x v="1"/>
    <x v="3"/>
    <s v="SOL"/>
    <n v="551908398303.04004"/>
    <n v="36394.620000000003"/>
    <n v="3340972106.0100002"/>
    <n v="1035747"/>
    <n v="3695591"/>
    <n v="4624879"/>
    <n v="59.36"/>
    <n v="-4.45"/>
    <n v="-2.93"/>
    <n v="-26.16"/>
    <n v="124"/>
    <x v="1"/>
    <x v="4"/>
    <x v="0"/>
    <x v="2"/>
    <x v="1"/>
    <n v="26605"/>
    <n v="82.95"/>
    <n v="39.770000000000003"/>
    <n v="90.21"/>
    <n v="12.13"/>
  </r>
  <r>
    <s v="2024-11-27"/>
    <x v="3"/>
    <x v="2"/>
    <s v="ADA"/>
    <n v="540638933361.95001"/>
    <n v="38434.269999999997"/>
    <n v="26614816534.639999"/>
    <n v="12518729"/>
    <n v="17184012"/>
    <n v="17890363"/>
    <n v="12.02"/>
    <n v="-2.21"/>
    <n v="5.95"/>
    <n v="-4.47"/>
    <n v="147"/>
    <x v="4"/>
    <x v="0"/>
    <x v="0"/>
    <x v="11"/>
    <x v="1"/>
    <n v="16798"/>
    <n v="69.19"/>
    <n v="27.43"/>
    <n v="37.83"/>
    <n v="31.38"/>
  </r>
  <r>
    <s v="2024-08-13"/>
    <x v="5"/>
    <x v="0"/>
    <s v="LTC"/>
    <n v="353964795975.37"/>
    <n v="19661.13"/>
    <n v="35384142922.580002"/>
    <n v="5446268"/>
    <n v="7752992"/>
    <n v="8518734"/>
    <n v="43.73"/>
    <n v="2.89"/>
    <n v="-14.69"/>
    <n v="35.17"/>
    <n v="53"/>
    <x v="3"/>
    <x v="3"/>
    <x v="1"/>
    <x v="5"/>
    <x v="0"/>
    <n v="27797"/>
    <n v="46.39"/>
    <n v="53.02"/>
    <n v="52.1"/>
    <n v="32.47"/>
  </r>
  <r>
    <s v="2024-11-07"/>
    <x v="3"/>
    <x v="1"/>
    <s v="BNB"/>
    <n v="350811448217.46002"/>
    <n v="68169.89"/>
    <n v="26528955791.459999"/>
    <n v="2443109"/>
    <n v="5431667"/>
    <n v="5815427"/>
    <n v="52.44"/>
    <n v="0.43"/>
    <n v="9.2899999999999991"/>
    <n v="11.36"/>
    <n v="55"/>
    <x v="0"/>
    <x v="2"/>
    <x v="4"/>
    <x v="10"/>
    <x v="1"/>
    <n v="34885"/>
    <n v="22.55"/>
    <n v="27.11"/>
    <n v="84.27"/>
    <n v="39.92"/>
  </r>
  <r>
    <s v="2024-06-15"/>
    <x v="7"/>
    <x v="4"/>
    <s v="DOT"/>
    <n v="55626382506.139999"/>
    <n v="61968.24"/>
    <n v="21661039200.540001"/>
    <n v="3471140"/>
    <n v="5211424"/>
    <n v="6017353"/>
    <n v="3.76"/>
    <n v="-3.14"/>
    <n v="-12.68"/>
    <n v="-11.56"/>
    <n v="53"/>
    <x v="1"/>
    <x v="0"/>
    <x v="2"/>
    <x v="3"/>
    <x v="1"/>
    <n v="51002"/>
    <n v="66.13"/>
    <n v="48.15"/>
    <n v="86.75"/>
    <n v="95.63"/>
  </r>
  <r>
    <s v="2024-12-12"/>
    <x v="4"/>
    <x v="9"/>
    <s v="BTC"/>
    <n v="54848502704.120003"/>
    <n v="63804.95"/>
    <n v="41927981383.739998"/>
    <n v="11644189"/>
    <n v="13508811"/>
    <n v="13856411"/>
    <n v="14.76"/>
    <n v="4.6900000000000004"/>
    <n v="12.86"/>
    <n v="0.75"/>
    <n v="55"/>
    <x v="2"/>
    <x v="4"/>
    <x v="3"/>
    <x v="2"/>
    <x v="0"/>
    <n v="25215"/>
    <n v="96.08"/>
    <n v="83.34"/>
    <n v="21.95"/>
    <n v="86.84"/>
  </r>
  <r>
    <s v="2024-08-01"/>
    <x v="5"/>
    <x v="7"/>
    <s v="AVAX"/>
    <n v="170943757135.26999"/>
    <n v="55099.05"/>
    <n v="32273085925.82"/>
    <n v="13401097"/>
    <n v="14598301"/>
    <n v="14989057"/>
    <n v="24.63"/>
    <n v="3.36"/>
    <n v="9.42"/>
    <n v="-6.7"/>
    <n v="155"/>
    <x v="4"/>
    <x v="3"/>
    <x v="3"/>
    <x v="12"/>
    <x v="1"/>
    <n v="60795"/>
    <n v="24.82"/>
    <n v="81.06"/>
    <n v="73.430000000000007"/>
    <n v="21.09"/>
  </r>
  <r>
    <s v="2024-02-27"/>
    <x v="1"/>
    <x v="8"/>
    <s v="ETH"/>
    <n v="326972646774.15997"/>
    <n v="26306.29"/>
    <n v="48514205711.190002"/>
    <n v="17321099"/>
    <n v="17692899"/>
    <n v="18313953"/>
    <n v="43.49"/>
    <n v="2.54"/>
    <n v="16.600000000000001"/>
    <n v="18.89"/>
    <n v="86"/>
    <x v="3"/>
    <x v="4"/>
    <x v="4"/>
    <x v="0"/>
    <x v="1"/>
    <n v="51959"/>
    <n v="71.58"/>
    <n v="90.07"/>
    <n v="91.63"/>
    <n v="94.19"/>
  </r>
  <r>
    <s v="2024-04-20"/>
    <x v="8"/>
    <x v="9"/>
    <s v="BTC"/>
    <n v="582437346721.98999"/>
    <n v="28135.57"/>
    <n v="21999941035.759998"/>
    <n v="11184552"/>
    <n v="13801239"/>
    <n v="14139779"/>
    <n v="5.79"/>
    <n v="-0.35"/>
    <n v="-18.97"/>
    <n v="36.979999999999997"/>
    <n v="123"/>
    <x v="2"/>
    <x v="4"/>
    <x v="3"/>
    <x v="0"/>
    <x v="0"/>
    <n v="55299"/>
    <n v="27.75"/>
    <n v="54.77"/>
    <n v="64.290000000000006"/>
    <n v="57.24"/>
  </r>
  <r>
    <s v="2024-03-09"/>
    <x v="9"/>
    <x v="0"/>
    <s v="LTC"/>
    <n v="29719742040.080002"/>
    <n v="44771.76"/>
    <n v="14604323596.52"/>
    <n v="11072718"/>
    <n v="15162369"/>
    <n v="16043223"/>
    <n v="58.55"/>
    <n v="1.1200000000000001"/>
    <n v="-4.25"/>
    <n v="24.09"/>
    <n v="200"/>
    <x v="2"/>
    <x v="2"/>
    <x v="1"/>
    <x v="12"/>
    <x v="0"/>
    <n v="43850"/>
    <n v="92.07"/>
    <n v="48.27"/>
    <n v="21.35"/>
    <n v="83.24"/>
  </r>
  <r>
    <s v="2024-08-11"/>
    <x v="5"/>
    <x v="6"/>
    <s v="DOGE"/>
    <n v="52554575955.339996"/>
    <n v="33156.28"/>
    <n v="3095688413.8600001"/>
    <n v="14943127"/>
    <n v="15183242"/>
    <n v="15361652"/>
    <n v="22.09"/>
    <n v="2.33"/>
    <n v="-17.38"/>
    <n v="-21.99"/>
    <n v="193"/>
    <x v="1"/>
    <x v="0"/>
    <x v="0"/>
    <x v="2"/>
    <x v="0"/>
    <n v="1865"/>
    <n v="57.91"/>
    <n v="64.53"/>
    <n v="74.52"/>
    <n v="90.7"/>
  </r>
  <r>
    <s v="2024-01-30"/>
    <x v="2"/>
    <x v="7"/>
    <s v="AVAX"/>
    <n v="62293824252.849998"/>
    <n v="68957.17"/>
    <n v="2329961330.0100002"/>
    <n v="2907729"/>
    <n v="4172853"/>
    <n v="5041801"/>
    <n v="54.37"/>
    <n v="-0.56999999999999995"/>
    <n v="11.34"/>
    <n v="30.62"/>
    <n v="77"/>
    <x v="1"/>
    <x v="1"/>
    <x v="0"/>
    <x v="12"/>
    <x v="1"/>
    <n v="60513"/>
    <n v="57.51"/>
    <n v="41.29"/>
    <n v="67.23"/>
    <n v="56.21"/>
  </r>
  <r>
    <s v="2024-09-09"/>
    <x v="11"/>
    <x v="3"/>
    <s v="SOL"/>
    <n v="159539156151.70001"/>
    <n v="21752.71"/>
    <n v="35130837157.139999"/>
    <n v="18929071"/>
    <n v="20181820"/>
    <n v="21023653"/>
    <n v="57.77"/>
    <n v="-3.7"/>
    <n v="11.16"/>
    <n v="-15.82"/>
    <n v="78"/>
    <x v="1"/>
    <x v="4"/>
    <x v="4"/>
    <x v="0"/>
    <x v="1"/>
    <n v="63147"/>
    <n v="56"/>
    <n v="28.24"/>
    <n v="77.12"/>
    <n v="44.97"/>
  </r>
  <r>
    <s v="2024-07-11"/>
    <x v="0"/>
    <x v="0"/>
    <s v="LTC"/>
    <n v="510009878371.64001"/>
    <n v="6570.61"/>
    <n v="11691081101.27"/>
    <n v="16138983"/>
    <n v="18594622"/>
    <n v="19437996"/>
    <n v="48.31"/>
    <n v="-3.27"/>
    <n v="5.43"/>
    <n v="-12.76"/>
    <n v="140"/>
    <x v="0"/>
    <x v="4"/>
    <x v="1"/>
    <x v="7"/>
    <x v="0"/>
    <n v="8995"/>
    <n v="92.6"/>
    <n v="96.19"/>
    <n v="68.42"/>
    <n v="88.62"/>
  </r>
  <r>
    <s v="2024-10-30"/>
    <x v="10"/>
    <x v="4"/>
    <s v="DOT"/>
    <n v="473333629637.67999"/>
    <n v="8393.92"/>
    <n v="4332279025.9499998"/>
    <n v="5705754"/>
    <n v="10194880"/>
    <n v="10438605"/>
    <n v="28.66"/>
    <n v="-4.8499999999999996"/>
    <n v="8.7799999999999994"/>
    <n v="6.59"/>
    <n v="142"/>
    <x v="2"/>
    <x v="4"/>
    <x v="4"/>
    <x v="5"/>
    <x v="1"/>
    <n v="18320"/>
    <n v="38.61"/>
    <n v="62.48"/>
    <n v="34.6"/>
    <n v="32.380000000000003"/>
  </r>
  <r>
    <s v="2024-09-05"/>
    <x v="11"/>
    <x v="8"/>
    <s v="ETH"/>
    <n v="640049003797.30005"/>
    <n v="66507.58"/>
    <n v="49179909895.639999"/>
    <n v="8188420"/>
    <n v="12727657"/>
    <n v="12959200"/>
    <n v="42.58"/>
    <n v="4.5599999999999996"/>
    <n v="11.5"/>
    <n v="18.22"/>
    <n v="69"/>
    <x v="1"/>
    <x v="1"/>
    <x v="3"/>
    <x v="11"/>
    <x v="1"/>
    <n v="19992"/>
    <n v="67.540000000000006"/>
    <n v="71.19"/>
    <n v="65.489999999999995"/>
    <n v="53.38"/>
  </r>
  <r>
    <s v="2024-04-28"/>
    <x v="8"/>
    <x v="7"/>
    <s v="AVAX"/>
    <n v="269928559392.57999"/>
    <n v="59347.29"/>
    <n v="21037418756.259998"/>
    <n v="7143241"/>
    <n v="8666569"/>
    <n v="9155618"/>
    <n v="42.57"/>
    <n v="-1.88"/>
    <n v="13.89"/>
    <n v="-0.46"/>
    <n v="21"/>
    <x v="3"/>
    <x v="3"/>
    <x v="2"/>
    <x v="4"/>
    <x v="1"/>
    <n v="63091"/>
    <n v="94.95"/>
    <n v="67.55"/>
    <n v="70.790000000000006"/>
    <n v="10.43"/>
  </r>
  <r>
    <s v="2024-12-02"/>
    <x v="4"/>
    <x v="1"/>
    <s v="BNB"/>
    <n v="632777075223.38"/>
    <n v="41835.050000000003"/>
    <n v="48054503827.160004"/>
    <n v="17701539"/>
    <n v="18898608"/>
    <n v="19197276"/>
    <n v="41.06"/>
    <n v="-0.19"/>
    <n v="3.6"/>
    <n v="10.130000000000001"/>
    <n v="31"/>
    <x v="2"/>
    <x v="2"/>
    <x v="1"/>
    <x v="2"/>
    <x v="1"/>
    <n v="61487"/>
    <n v="70.55"/>
    <n v="60.36"/>
    <n v="11.93"/>
    <n v="11.81"/>
  </r>
  <r>
    <s v="2024-06-18"/>
    <x v="7"/>
    <x v="9"/>
    <s v="BTC"/>
    <n v="704098351083.82996"/>
    <n v="47851.48"/>
    <n v="29977283814.419998"/>
    <n v="7609435"/>
    <n v="7725828"/>
    <n v="8432578"/>
    <n v="12.48"/>
    <n v="4.96"/>
    <n v="10.11"/>
    <n v="16.510000000000002"/>
    <n v="183"/>
    <x v="2"/>
    <x v="1"/>
    <x v="1"/>
    <x v="11"/>
    <x v="0"/>
    <n v="16034"/>
    <n v="16.36"/>
    <n v="55.55"/>
    <n v="44.68"/>
    <n v="87.76"/>
  </r>
  <r>
    <s v="2024-10-14"/>
    <x v="10"/>
    <x v="8"/>
    <s v="ETH"/>
    <n v="406380309409.04999"/>
    <n v="51310.99"/>
    <n v="42939261223.550003"/>
    <n v="12768038"/>
    <n v="13726886"/>
    <n v="14363128"/>
    <n v="36.729999999999997"/>
    <n v="0.78"/>
    <n v="-8.8000000000000007"/>
    <n v="-33.119999999999997"/>
    <n v="100"/>
    <x v="1"/>
    <x v="3"/>
    <x v="3"/>
    <x v="1"/>
    <x v="1"/>
    <n v="11932"/>
    <n v="72.709999999999994"/>
    <n v="57.47"/>
    <n v="27.05"/>
    <n v="69.599999999999994"/>
  </r>
  <r>
    <s v="2024-05-28"/>
    <x v="6"/>
    <x v="6"/>
    <s v="DOGE"/>
    <n v="724927197141.77002"/>
    <n v="15632.31"/>
    <n v="23016683618.07"/>
    <n v="13165149"/>
    <n v="16483919"/>
    <n v="16543743"/>
    <n v="45.2"/>
    <n v="3.22"/>
    <n v="-11.02"/>
    <n v="-27.72"/>
    <n v="127"/>
    <x v="3"/>
    <x v="1"/>
    <x v="3"/>
    <x v="12"/>
    <x v="0"/>
    <n v="33232"/>
    <n v="10.41"/>
    <n v="57.61"/>
    <n v="78.77"/>
    <n v="24.68"/>
  </r>
  <r>
    <s v="2024-02-29"/>
    <x v="1"/>
    <x v="8"/>
    <s v="ETH"/>
    <n v="676248232933.38"/>
    <n v="28160.69"/>
    <n v="47188390191.5"/>
    <n v="5961704"/>
    <n v="10856707"/>
    <n v="11632195"/>
    <n v="8.2100000000000009"/>
    <n v="1.48"/>
    <n v="6.95"/>
    <n v="30.19"/>
    <n v="54"/>
    <x v="1"/>
    <x v="3"/>
    <x v="3"/>
    <x v="4"/>
    <x v="1"/>
    <n v="47081"/>
    <n v="30.18"/>
    <n v="97.23"/>
    <n v="74.489999999999995"/>
    <n v="19.53"/>
  </r>
  <r>
    <s v="2024-08-28"/>
    <x v="5"/>
    <x v="5"/>
    <s v="XRP"/>
    <n v="52414157551.129997"/>
    <n v="2528.1"/>
    <n v="47995393926.690002"/>
    <n v="10220087"/>
    <n v="12906932"/>
    <n v="13323302"/>
    <n v="13.45"/>
    <n v="3.57"/>
    <n v="-1.26"/>
    <n v="19.489999999999998"/>
    <n v="41"/>
    <x v="4"/>
    <x v="4"/>
    <x v="3"/>
    <x v="1"/>
    <x v="2"/>
    <n v="49001"/>
    <n v="68.31"/>
    <n v="30.7"/>
    <n v="46.56"/>
    <n v="86.38"/>
  </r>
  <r>
    <s v="2024-05-25"/>
    <x v="6"/>
    <x v="1"/>
    <s v="BNB"/>
    <n v="209489443341.85001"/>
    <n v="49258.1"/>
    <n v="21596917760.580002"/>
    <n v="2383873"/>
    <n v="5740401"/>
    <n v="6396047"/>
    <n v="16.829999999999998"/>
    <n v="1.39"/>
    <n v="-8.5500000000000007"/>
    <n v="17.170000000000002"/>
    <n v="13"/>
    <x v="2"/>
    <x v="2"/>
    <x v="3"/>
    <x v="1"/>
    <x v="1"/>
    <n v="57523"/>
    <n v="60.36"/>
    <n v="82.33"/>
    <n v="89.74"/>
    <n v="46.66"/>
  </r>
  <r>
    <s v="2024-09-07"/>
    <x v="11"/>
    <x v="7"/>
    <s v="AVAX"/>
    <n v="787648209905.60999"/>
    <n v="36514.959999999999"/>
    <n v="28979770966.040001"/>
    <n v="3374490"/>
    <n v="5349632"/>
    <n v="5543972"/>
    <n v="44.17"/>
    <n v="-4.53"/>
    <n v="12.05"/>
    <n v="-37.19"/>
    <n v="172"/>
    <x v="1"/>
    <x v="2"/>
    <x v="4"/>
    <x v="3"/>
    <x v="1"/>
    <n v="14851"/>
    <n v="14.34"/>
    <n v="27.47"/>
    <n v="58.99"/>
    <n v="52.19"/>
  </r>
  <r>
    <s v="2024-06-29"/>
    <x v="7"/>
    <x v="9"/>
    <s v="BTC"/>
    <n v="849548765244.46997"/>
    <n v="7959.59"/>
    <n v="28930605382.759998"/>
    <n v="13925379"/>
    <n v="17449793"/>
    <n v="18019909"/>
    <n v="10.32"/>
    <n v="-4.74"/>
    <n v="-7.89"/>
    <n v="-34.61"/>
    <n v="43"/>
    <x v="0"/>
    <x v="4"/>
    <x v="1"/>
    <x v="12"/>
    <x v="0"/>
    <n v="48771"/>
    <n v="66.3"/>
    <n v="20.149999999999999"/>
    <n v="43.38"/>
    <n v="83.33"/>
  </r>
  <r>
    <s v="2024-12-26"/>
    <x v="4"/>
    <x v="9"/>
    <s v="BTC"/>
    <n v="669018999946.62"/>
    <n v="36334.080000000002"/>
    <n v="44514725931.080002"/>
    <n v="3271437"/>
    <n v="5190029"/>
    <n v="5951461"/>
    <n v="21.83"/>
    <n v="1.23"/>
    <n v="-11.22"/>
    <n v="13.21"/>
    <n v="175"/>
    <x v="0"/>
    <x v="2"/>
    <x v="0"/>
    <x v="10"/>
    <x v="0"/>
    <n v="30682"/>
    <n v="37.35"/>
    <n v="83.54"/>
    <n v="64.55"/>
    <n v="64.14"/>
  </r>
  <r>
    <s v="2024-09-26"/>
    <x v="11"/>
    <x v="1"/>
    <s v="BNB"/>
    <n v="621697703261.21997"/>
    <n v="35383.83"/>
    <n v="8346069559.7200003"/>
    <n v="17152655"/>
    <n v="20903708"/>
    <n v="21876709"/>
    <n v="8.1999999999999993"/>
    <n v="1.64"/>
    <n v="17.18"/>
    <n v="16.77"/>
    <n v="83"/>
    <x v="4"/>
    <x v="0"/>
    <x v="4"/>
    <x v="7"/>
    <x v="1"/>
    <n v="18621"/>
    <n v="28.83"/>
    <n v="86"/>
    <n v="17.510000000000002"/>
    <n v="48.63"/>
  </r>
  <r>
    <s v="2024-08-03"/>
    <x v="5"/>
    <x v="0"/>
    <s v="LTC"/>
    <n v="236479247049.57001"/>
    <n v="61795.76"/>
    <n v="41196385179.220001"/>
    <n v="7258089"/>
    <n v="12121252"/>
    <n v="13025564"/>
    <n v="32.520000000000003"/>
    <n v="-1.23"/>
    <n v="3.35"/>
    <n v="0.06"/>
    <n v="51"/>
    <x v="3"/>
    <x v="0"/>
    <x v="3"/>
    <x v="5"/>
    <x v="0"/>
    <n v="62065"/>
    <n v="17.57"/>
    <n v="67.489999999999995"/>
    <n v="87.53"/>
    <n v="76.44"/>
  </r>
  <r>
    <s v="2024-05-18"/>
    <x v="6"/>
    <x v="4"/>
    <s v="DOT"/>
    <n v="809788384469.12"/>
    <n v="35173.94"/>
    <n v="37028006784.300003"/>
    <n v="7491025"/>
    <n v="9472351"/>
    <n v="9995339"/>
    <n v="58.18"/>
    <n v="-1.84"/>
    <n v="10.56"/>
    <n v="-27.21"/>
    <n v="152"/>
    <x v="4"/>
    <x v="3"/>
    <x v="0"/>
    <x v="7"/>
    <x v="1"/>
    <n v="1052"/>
    <n v="44.8"/>
    <n v="72.52"/>
    <n v="74.41"/>
    <n v="22.64"/>
  </r>
  <r>
    <s v="2024-07-16"/>
    <x v="0"/>
    <x v="3"/>
    <s v="SOL"/>
    <n v="216105704299.59"/>
    <n v="54929.120000000003"/>
    <n v="41139069877.389999"/>
    <n v="11432948"/>
    <n v="11982533"/>
    <n v="12218354"/>
    <n v="1.74"/>
    <n v="4.5999999999999996"/>
    <n v="12.02"/>
    <n v="9.0500000000000007"/>
    <n v="104"/>
    <x v="3"/>
    <x v="0"/>
    <x v="2"/>
    <x v="0"/>
    <x v="1"/>
    <n v="63026"/>
    <n v="84.93"/>
    <n v="85.93"/>
    <n v="37.909999999999997"/>
    <n v="76.739999999999995"/>
  </r>
  <r>
    <s v="2024-11-03"/>
    <x v="3"/>
    <x v="5"/>
    <s v="XRP"/>
    <n v="266011505574.44"/>
    <n v="28919.16"/>
    <n v="6614971669.9300003"/>
    <n v="16465913"/>
    <n v="16827479"/>
    <n v="17134607"/>
    <n v="20.09"/>
    <n v="-3.64"/>
    <n v="0.19"/>
    <n v="25.15"/>
    <n v="39"/>
    <x v="3"/>
    <x v="2"/>
    <x v="4"/>
    <x v="11"/>
    <x v="2"/>
    <n v="33159"/>
    <n v="23.69"/>
    <n v="55.04"/>
    <n v="22.18"/>
    <n v="35.65"/>
  </r>
  <r>
    <s v="2024-11-21"/>
    <x v="3"/>
    <x v="5"/>
    <s v="XRP"/>
    <n v="764380815187.71997"/>
    <n v="51565.49"/>
    <n v="1399336824.9200001"/>
    <n v="9175718"/>
    <n v="10187158"/>
    <n v="11038850"/>
    <n v="6.85"/>
    <n v="4.26"/>
    <n v="12"/>
    <n v="-2.04"/>
    <n v="14"/>
    <x v="1"/>
    <x v="3"/>
    <x v="1"/>
    <x v="5"/>
    <x v="2"/>
    <n v="24329"/>
    <n v="61.6"/>
    <n v="44.83"/>
    <n v="93.82"/>
    <n v="11.76"/>
  </r>
  <r>
    <s v="2024-03-19"/>
    <x v="9"/>
    <x v="7"/>
    <s v="AVAX"/>
    <n v="363150181604.35999"/>
    <n v="29745.14"/>
    <n v="20902097354.860001"/>
    <n v="18522252"/>
    <n v="21334820"/>
    <n v="21535757"/>
    <n v="48.86"/>
    <n v="3.45"/>
    <n v="5.67"/>
    <n v="-15.81"/>
    <n v="34"/>
    <x v="0"/>
    <x v="1"/>
    <x v="1"/>
    <x v="10"/>
    <x v="1"/>
    <n v="51122"/>
    <n v="87.69"/>
    <n v="90.52"/>
    <n v="72.319999999999993"/>
    <n v="11.37"/>
  </r>
  <r>
    <s v="2024-06-12"/>
    <x v="7"/>
    <x v="5"/>
    <s v="XRP"/>
    <n v="85555871199.139999"/>
    <n v="25797.89"/>
    <n v="33527552187.610001"/>
    <n v="8528159"/>
    <n v="11074003"/>
    <n v="11597939"/>
    <n v="45.7"/>
    <n v="4.9400000000000004"/>
    <n v="-9.75"/>
    <n v="-15.83"/>
    <n v="166"/>
    <x v="2"/>
    <x v="4"/>
    <x v="1"/>
    <x v="13"/>
    <x v="2"/>
    <n v="7047"/>
    <n v="29.96"/>
    <n v="22.69"/>
    <n v="53.66"/>
    <n v="24.22"/>
  </r>
  <r>
    <s v="2024-10-09"/>
    <x v="10"/>
    <x v="9"/>
    <s v="BTC"/>
    <n v="29085598747.240002"/>
    <n v="38857.18"/>
    <n v="48423016244.900002"/>
    <n v="16833190"/>
    <n v="20593755"/>
    <n v="21105218"/>
    <n v="29.02"/>
    <n v="2.92"/>
    <n v="19.73"/>
    <n v="-19.86"/>
    <n v="98"/>
    <x v="3"/>
    <x v="3"/>
    <x v="2"/>
    <x v="9"/>
    <x v="0"/>
    <n v="38247"/>
    <n v="60.69"/>
    <n v="82.61"/>
    <n v="57.33"/>
    <n v="60.61"/>
  </r>
  <r>
    <s v="2024-10-16"/>
    <x v="10"/>
    <x v="5"/>
    <s v="XRP"/>
    <n v="107807969951.53999"/>
    <n v="14185.27"/>
    <n v="47397812901.5"/>
    <n v="13296223"/>
    <n v="18059628"/>
    <n v="18913364"/>
    <n v="3.51"/>
    <n v="-1.92"/>
    <n v="-16.850000000000001"/>
    <n v="24.3"/>
    <n v="78"/>
    <x v="3"/>
    <x v="3"/>
    <x v="1"/>
    <x v="5"/>
    <x v="2"/>
    <n v="43965"/>
    <n v="56.95"/>
    <n v="93.96"/>
    <n v="53.86"/>
    <n v="18.53"/>
  </r>
  <r>
    <s v="2024-11-10"/>
    <x v="3"/>
    <x v="9"/>
    <s v="BTC"/>
    <n v="774078348142"/>
    <n v="47276.57"/>
    <n v="45949601762.709999"/>
    <n v="9870168"/>
    <n v="10928419"/>
    <n v="11257904"/>
    <n v="59.85"/>
    <n v="0.64"/>
    <n v="13.44"/>
    <n v="-28.37"/>
    <n v="89"/>
    <x v="1"/>
    <x v="2"/>
    <x v="1"/>
    <x v="10"/>
    <x v="0"/>
    <n v="17544"/>
    <n v="38.32"/>
    <n v="30.11"/>
    <n v="54.96"/>
    <n v="88.55"/>
  </r>
  <r>
    <s v="2024-04-10"/>
    <x v="8"/>
    <x v="7"/>
    <s v="AVAX"/>
    <n v="629552322093.22998"/>
    <n v="29795.83"/>
    <n v="9807481814.4099998"/>
    <n v="5057285"/>
    <n v="9243295"/>
    <n v="10181110"/>
    <n v="52.92"/>
    <n v="-3"/>
    <n v="16.420000000000002"/>
    <n v="22.88"/>
    <n v="145"/>
    <x v="4"/>
    <x v="2"/>
    <x v="3"/>
    <x v="8"/>
    <x v="1"/>
    <n v="62484"/>
    <n v="57.79"/>
    <n v="49.65"/>
    <n v="89.77"/>
    <n v="21.44"/>
  </r>
  <r>
    <s v="2024-04-06"/>
    <x v="8"/>
    <x v="1"/>
    <s v="BNB"/>
    <n v="772014097032.81995"/>
    <n v="62704.18"/>
    <n v="27765575008.549999"/>
    <n v="4028777"/>
    <n v="7591828"/>
    <n v="8408541"/>
    <n v="11.11"/>
    <n v="1.37"/>
    <n v="6.93"/>
    <n v="-32.5"/>
    <n v="110"/>
    <x v="3"/>
    <x v="2"/>
    <x v="2"/>
    <x v="7"/>
    <x v="1"/>
    <n v="10142"/>
    <n v="32.35"/>
    <n v="98.26"/>
    <n v="14.6"/>
    <n v="48.08"/>
  </r>
  <r>
    <s v="2024-06-28"/>
    <x v="7"/>
    <x v="8"/>
    <s v="ETH"/>
    <n v="50365770744.769997"/>
    <n v="46865.73"/>
    <n v="11220178599.809999"/>
    <n v="14662332"/>
    <n v="18941633"/>
    <n v="19150662"/>
    <n v="54.24"/>
    <n v="-1.07"/>
    <n v="18.48"/>
    <n v="39.89"/>
    <n v="41"/>
    <x v="4"/>
    <x v="4"/>
    <x v="1"/>
    <x v="2"/>
    <x v="1"/>
    <n v="48912"/>
    <n v="52.51"/>
    <n v="28.54"/>
    <n v="77.5"/>
    <n v="46.99"/>
  </r>
  <r>
    <s v="2024-05-11"/>
    <x v="6"/>
    <x v="4"/>
    <s v="DOT"/>
    <n v="285153598119.02002"/>
    <n v="48715.29"/>
    <n v="3484057437.6900001"/>
    <n v="16020645"/>
    <n v="19723700"/>
    <n v="19934445"/>
    <n v="0.25"/>
    <n v="0.22"/>
    <n v="-4.2699999999999996"/>
    <n v="-7.79"/>
    <n v="57"/>
    <x v="4"/>
    <x v="3"/>
    <x v="1"/>
    <x v="12"/>
    <x v="1"/>
    <n v="2904"/>
    <n v="20.190000000000001"/>
    <n v="45.07"/>
    <n v="38.26"/>
    <n v="25.07"/>
  </r>
  <r>
    <s v="2024-01-24"/>
    <x v="2"/>
    <x v="1"/>
    <s v="BNB"/>
    <n v="604221389807.91003"/>
    <n v="67748.100000000006"/>
    <n v="35083589508.540001"/>
    <n v="12225942"/>
    <n v="15216937"/>
    <n v="15379213"/>
    <n v="36.159999999999997"/>
    <n v="1.1200000000000001"/>
    <n v="-3.82"/>
    <n v="-23.44"/>
    <n v="132"/>
    <x v="1"/>
    <x v="0"/>
    <x v="2"/>
    <x v="5"/>
    <x v="1"/>
    <n v="59218"/>
    <n v="46.4"/>
    <n v="94.56"/>
    <n v="95.01"/>
    <n v="84.49"/>
  </r>
  <r>
    <s v="2024-01-16"/>
    <x v="2"/>
    <x v="5"/>
    <s v="XRP"/>
    <n v="432726436313.09998"/>
    <n v="58296.72"/>
    <n v="32664180563.610001"/>
    <n v="11373020"/>
    <n v="14090887"/>
    <n v="14746714"/>
    <n v="15.72"/>
    <n v="2.82"/>
    <n v="15.34"/>
    <n v="-2.92"/>
    <n v="32"/>
    <x v="2"/>
    <x v="4"/>
    <x v="4"/>
    <x v="3"/>
    <x v="2"/>
    <n v="51337"/>
    <n v="58.23"/>
    <n v="60.45"/>
    <n v="64.67"/>
    <n v="98.17"/>
  </r>
  <r>
    <s v="2024-01-03"/>
    <x v="2"/>
    <x v="2"/>
    <s v="ADA"/>
    <n v="696990243324.87"/>
    <n v="6487.71"/>
    <n v="850616695.01999998"/>
    <n v="18833815"/>
    <n v="18991825"/>
    <n v="19955833"/>
    <n v="20.99"/>
    <n v="3"/>
    <n v="-3.8"/>
    <n v="-14.17"/>
    <n v="10"/>
    <x v="0"/>
    <x v="3"/>
    <x v="0"/>
    <x v="12"/>
    <x v="1"/>
    <n v="57588"/>
    <n v="35.9"/>
    <n v="45.67"/>
    <n v="36.68"/>
    <n v="81.62"/>
  </r>
  <r>
    <s v="2024-12-26"/>
    <x v="4"/>
    <x v="4"/>
    <s v="DOT"/>
    <n v="723009898161.91003"/>
    <n v="20099.900000000001"/>
    <n v="28914490939.049999"/>
    <n v="11289285"/>
    <n v="13695685"/>
    <n v="14088708"/>
    <n v="4.17"/>
    <n v="3.56"/>
    <n v="19.64"/>
    <n v="-1.98"/>
    <n v="8"/>
    <x v="1"/>
    <x v="0"/>
    <x v="4"/>
    <x v="10"/>
    <x v="1"/>
    <n v="50807"/>
    <n v="53.2"/>
    <n v="25.94"/>
    <n v="60.94"/>
    <n v="25.5"/>
  </r>
  <r>
    <s v="2024-08-04"/>
    <x v="5"/>
    <x v="6"/>
    <s v="DOGE"/>
    <n v="785288922648.75"/>
    <n v="51197.65"/>
    <n v="34461100966.720001"/>
    <n v="1146119"/>
    <n v="5196525"/>
    <n v="6090324"/>
    <n v="26.98"/>
    <n v="2.54"/>
    <n v="-6.48"/>
    <n v="19.079999999999998"/>
    <n v="102"/>
    <x v="4"/>
    <x v="0"/>
    <x v="3"/>
    <x v="8"/>
    <x v="0"/>
    <n v="987"/>
    <n v="48.21"/>
    <n v="89.44"/>
    <n v="81.16"/>
    <n v="46.07"/>
  </r>
  <r>
    <s v="2024-01-18"/>
    <x v="2"/>
    <x v="3"/>
    <s v="SOL"/>
    <n v="883240070876.44995"/>
    <n v="8788.27"/>
    <n v="31390623559.009998"/>
    <n v="2334861"/>
    <n v="6744057"/>
    <n v="6860905"/>
    <n v="4.3600000000000003"/>
    <n v="-1.49"/>
    <n v="-15.27"/>
    <n v="-29.22"/>
    <n v="173"/>
    <x v="3"/>
    <x v="3"/>
    <x v="2"/>
    <x v="3"/>
    <x v="1"/>
    <n v="63704"/>
    <n v="98.03"/>
    <n v="46.13"/>
    <n v="48.46"/>
    <n v="88.35"/>
  </r>
  <r>
    <s v="2024-04-02"/>
    <x v="8"/>
    <x v="1"/>
    <s v="BNB"/>
    <n v="248190844976.29001"/>
    <n v="48292.959999999999"/>
    <n v="33906414166.16"/>
    <n v="6724169"/>
    <n v="10944573"/>
    <n v="11396456"/>
    <n v="48.17"/>
    <n v="-3.7"/>
    <n v="7.15"/>
    <n v="-0.24"/>
    <n v="134"/>
    <x v="0"/>
    <x v="3"/>
    <x v="4"/>
    <x v="9"/>
    <x v="1"/>
    <n v="4225"/>
    <n v="37.33"/>
    <n v="83.13"/>
    <n v="19.43"/>
    <n v="87.19"/>
  </r>
  <r>
    <s v="2024-05-16"/>
    <x v="6"/>
    <x v="3"/>
    <s v="SOL"/>
    <n v="418923487145.39001"/>
    <n v="17566.89"/>
    <n v="5669382587.3299999"/>
    <n v="6022523"/>
    <n v="10358405"/>
    <n v="11035689"/>
    <n v="29.53"/>
    <n v="2.16"/>
    <n v="-19.96"/>
    <n v="-38.22"/>
    <n v="40"/>
    <x v="0"/>
    <x v="2"/>
    <x v="4"/>
    <x v="2"/>
    <x v="1"/>
    <n v="48491"/>
    <n v="41.28"/>
    <n v="65.05"/>
    <n v="44.69"/>
    <n v="60.31"/>
  </r>
  <r>
    <s v="2024-08-26"/>
    <x v="5"/>
    <x v="5"/>
    <s v="XRP"/>
    <n v="598951365228.92004"/>
    <n v="64412.87"/>
    <n v="6724623604.3000002"/>
    <n v="11289723"/>
    <n v="12687975"/>
    <n v="12948427"/>
    <n v="33.1"/>
    <n v="2.2400000000000002"/>
    <n v="-12.45"/>
    <n v="-33.74"/>
    <n v="161"/>
    <x v="2"/>
    <x v="1"/>
    <x v="3"/>
    <x v="8"/>
    <x v="2"/>
    <n v="42060"/>
    <n v="14.26"/>
    <n v="87.39"/>
    <n v="57.93"/>
    <n v="96.95"/>
  </r>
  <r>
    <s v="2024-02-17"/>
    <x v="1"/>
    <x v="1"/>
    <s v="BNB"/>
    <n v="646493185734.56995"/>
    <n v="45988.91"/>
    <n v="44831033674.610001"/>
    <n v="18389046"/>
    <n v="19564744"/>
    <n v="20039783"/>
    <n v="52.74"/>
    <n v="-1.87"/>
    <n v="-7.92"/>
    <n v="-29.72"/>
    <n v="46"/>
    <x v="3"/>
    <x v="3"/>
    <x v="0"/>
    <x v="13"/>
    <x v="1"/>
    <n v="58406"/>
    <n v="33.44"/>
    <n v="34.61"/>
    <n v="59.9"/>
    <n v="14.88"/>
  </r>
  <r>
    <s v="2024-10-06"/>
    <x v="10"/>
    <x v="6"/>
    <s v="DOGE"/>
    <n v="472765404832.39001"/>
    <n v="15076.93"/>
    <n v="10598326754.83"/>
    <n v="17251367"/>
    <n v="21053374"/>
    <n v="21859911"/>
    <n v="43.12"/>
    <n v="0.43"/>
    <n v="-0.93"/>
    <n v="-5.0599999999999996"/>
    <n v="37"/>
    <x v="1"/>
    <x v="0"/>
    <x v="4"/>
    <x v="6"/>
    <x v="0"/>
    <n v="27405"/>
    <n v="96.08"/>
    <n v="21.87"/>
    <n v="39.9"/>
    <n v="65.94"/>
  </r>
  <r>
    <s v="2024-11-18"/>
    <x v="3"/>
    <x v="7"/>
    <s v="AVAX"/>
    <n v="129422197123.14"/>
    <n v="17329"/>
    <n v="47409524100.419998"/>
    <n v="11205911"/>
    <n v="14858857"/>
    <n v="15524072"/>
    <n v="54.12"/>
    <n v="-4.71"/>
    <n v="-12.47"/>
    <n v="38.020000000000003"/>
    <n v="157"/>
    <x v="3"/>
    <x v="4"/>
    <x v="4"/>
    <x v="7"/>
    <x v="1"/>
    <n v="22124"/>
    <n v="98.42"/>
    <n v="44.78"/>
    <n v="46.26"/>
    <n v="37.979999999999997"/>
  </r>
  <r>
    <s v="2024-12-10"/>
    <x v="4"/>
    <x v="6"/>
    <s v="DOGE"/>
    <n v="127169461791.78"/>
    <n v="8024.06"/>
    <n v="32656872280.330002"/>
    <n v="1705084"/>
    <n v="6538645"/>
    <n v="6964341"/>
    <n v="51.55"/>
    <n v="3.65"/>
    <n v="16.28"/>
    <n v="-28.25"/>
    <n v="106"/>
    <x v="2"/>
    <x v="3"/>
    <x v="0"/>
    <x v="13"/>
    <x v="0"/>
    <n v="20991"/>
    <n v="43.08"/>
    <n v="46"/>
    <n v="48.6"/>
    <n v="99.22"/>
  </r>
  <r>
    <s v="2024-07-17"/>
    <x v="0"/>
    <x v="5"/>
    <s v="XRP"/>
    <n v="702171611303.18994"/>
    <n v="10812.64"/>
    <n v="15438057116.540001"/>
    <n v="18620604"/>
    <n v="20018376"/>
    <n v="21013498"/>
    <n v="41.29"/>
    <n v="-2.5299999999999998"/>
    <n v="-16.59"/>
    <n v="26.84"/>
    <n v="187"/>
    <x v="1"/>
    <x v="2"/>
    <x v="3"/>
    <x v="11"/>
    <x v="2"/>
    <n v="30703"/>
    <n v="75.760000000000005"/>
    <n v="26.54"/>
    <n v="83.89"/>
    <n v="48.32"/>
  </r>
  <r>
    <s v="2024-04-27"/>
    <x v="8"/>
    <x v="0"/>
    <s v="LTC"/>
    <n v="55883543686.940002"/>
    <n v="50193.79"/>
    <n v="26470226241.82"/>
    <n v="4768900"/>
    <n v="8357070"/>
    <n v="8821562"/>
    <n v="20.85"/>
    <n v="-4.67"/>
    <n v="-7.85"/>
    <n v="-4.91"/>
    <n v="73"/>
    <x v="3"/>
    <x v="0"/>
    <x v="4"/>
    <x v="9"/>
    <x v="0"/>
    <n v="57479"/>
    <n v="28.03"/>
    <n v="67.040000000000006"/>
    <n v="35.950000000000003"/>
    <n v="24.83"/>
  </r>
  <r>
    <s v="2024-07-11"/>
    <x v="0"/>
    <x v="4"/>
    <s v="DOT"/>
    <n v="715663050642.21997"/>
    <n v="25974.63"/>
    <n v="47305434724.040001"/>
    <n v="6467264"/>
    <n v="11329411"/>
    <n v="11614392"/>
    <n v="30.83"/>
    <n v="3.59"/>
    <n v="-14.96"/>
    <n v="8.92"/>
    <n v="78"/>
    <x v="4"/>
    <x v="0"/>
    <x v="4"/>
    <x v="12"/>
    <x v="1"/>
    <n v="17204"/>
    <n v="59.81"/>
    <n v="64.099999999999994"/>
    <n v="14.63"/>
    <n v="18.12"/>
  </r>
  <r>
    <s v="2024-01-01"/>
    <x v="2"/>
    <x v="6"/>
    <s v="DOGE"/>
    <n v="839948573791.73999"/>
    <n v="9015.25"/>
    <n v="14920283053.25"/>
    <n v="8755762"/>
    <n v="10997893"/>
    <n v="11321119"/>
    <n v="26.24"/>
    <n v="0.65"/>
    <n v="14.98"/>
    <n v="27.13"/>
    <n v="174"/>
    <x v="1"/>
    <x v="0"/>
    <x v="4"/>
    <x v="12"/>
    <x v="0"/>
    <n v="50799"/>
    <n v="82.04"/>
    <n v="89.24"/>
    <n v="18"/>
    <n v="33.15"/>
  </r>
  <r>
    <s v="2024-09-25"/>
    <x v="11"/>
    <x v="3"/>
    <s v="SOL"/>
    <n v="707241029065.79004"/>
    <n v="24949.75"/>
    <n v="49533920194.300003"/>
    <n v="9746399"/>
    <n v="14327168"/>
    <n v="14548843"/>
    <n v="31.08"/>
    <n v="3.29"/>
    <n v="-1.97"/>
    <n v="4.1100000000000003"/>
    <n v="114"/>
    <x v="1"/>
    <x v="0"/>
    <x v="2"/>
    <x v="9"/>
    <x v="1"/>
    <n v="44472"/>
    <n v="12.08"/>
    <n v="86.76"/>
    <n v="29.5"/>
    <n v="63.12"/>
  </r>
  <r>
    <s v="2024-12-30"/>
    <x v="4"/>
    <x v="2"/>
    <s v="ADA"/>
    <n v="532355709848.09998"/>
    <n v="20578.11"/>
    <n v="20317910226.599998"/>
    <n v="13836891"/>
    <n v="14037026"/>
    <n v="14501181"/>
    <n v="8.75"/>
    <n v="2.37"/>
    <n v="-5.72"/>
    <n v="12.3"/>
    <n v="193"/>
    <x v="3"/>
    <x v="0"/>
    <x v="3"/>
    <x v="2"/>
    <x v="1"/>
    <n v="3989"/>
    <n v="90.95"/>
    <n v="89.51"/>
    <n v="54.3"/>
    <n v="64.22"/>
  </r>
  <r>
    <s v="2024-02-15"/>
    <x v="1"/>
    <x v="1"/>
    <s v="BNB"/>
    <n v="575502459618.05005"/>
    <n v="56220.51"/>
    <n v="31854189006.099998"/>
    <n v="12547549"/>
    <n v="13071965"/>
    <n v="13642698"/>
    <n v="45.6"/>
    <n v="2.08"/>
    <n v="-9.0500000000000007"/>
    <n v="8.5"/>
    <n v="92"/>
    <x v="4"/>
    <x v="3"/>
    <x v="3"/>
    <x v="7"/>
    <x v="1"/>
    <n v="46186"/>
    <n v="15.81"/>
    <n v="57.99"/>
    <n v="11.52"/>
    <n v="53"/>
  </r>
  <r>
    <s v="2024-11-10"/>
    <x v="3"/>
    <x v="3"/>
    <s v="SOL"/>
    <n v="320349049113.85999"/>
    <n v="44250.02"/>
    <n v="25392033161.119999"/>
    <n v="13400216"/>
    <n v="17878281"/>
    <n v="18671207"/>
    <n v="11.52"/>
    <n v="-0.62"/>
    <n v="8.7100000000000009"/>
    <n v="31.87"/>
    <n v="76"/>
    <x v="4"/>
    <x v="1"/>
    <x v="4"/>
    <x v="12"/>
    <x v="1"/>
    <n v="51214"/>
    <n v="92.08"/>
    <n v="42.26"/>
    <n v="96.43"/>
    <n v="89.58"/>
  </r>
  <r>
    <s v="2024-01-02"/>
    <x v="2"/>
    <x v="8"/>
    <s v="ETH"/>
    <n v="649459775845.13"/>
    <n v="17038.400000000001"/>
    <n v="5178171960.5900002"/>
    <n v="6923109"/>
    <n v="7270104"/>
    <n v="8167645"/>
    <n v="49.71"/>
    <n v="2.0699999999999998"/>
    <n v="-19.2"/>
    <n v="11.89"/>
    <n v="28"/>
    <x v="3"/>
    <x v="4"/>
    <x v="4"/>
    <x v="13"/>
    <x v="1"/>
    <n v="25265"/>
    <n v="63.02"/>
    <n v="72.42"/>
    <n v="71"/>
    <n v="31.67"/>
  </r>
  <r>
    <s v="2024-01-05"/>
    <x v="2"/>
    <x v="0"/>
    <s v="LTC"/>
    <n v="675335329132.27002"/>
    <n v="27758.79"/>
    <n v="30372531909.709999"/>
    <n v="18889917"/>
    <n v="23693679"/>
    <n v="23988070"/>
    <n v="28.34"/>
    <n v="-3.28"/>
    <n v="-15.35"/>
    <n v="-11.28"/>
    <n v="189"/>
    <x v="3"/>
    <x v="2"/>
    <x v="4"/>
    <x v="2"/>
    <x v="0"/>
    <n v="38437"/>
    <n v="70.12"/>
    <n v="24.52"/>
    <n v="27.34"/>
    <n v="88.19"/>
  </r>
  <r>
    <s v="2024-11-18"/>
    <x v="3"/>
    <x v="5"/>
    <s v="XRP"/>
    <n v="537948945434.28998"/>
    <n v="16250.39"/>
    <n v="1787748994.1700001"/>
    <n v="13413394"/>
    <n v="16800423"/>
    <n v="17266523"/>
    <n v="21.7"/>
    <n v="-4.76"/>
    <n v="-19.059999999999999"/>
    <n v="20.329999999999998"/>
    <n v="112"/>
    <x v="2"/>
    <x v="4"/>
    <x v="4"/>
    <x v="5"/>
    <x v="2"/>
    <n v="22214"/>
    <n v="96.57"/>
    <n v="46.06"/>
    <n v="72.73"/>
    <n v="28.37"/>
  </r>
  <r>
    <s v="2024-10-24"/>
    <x v="10"/>
    <x v="7"/>
    <s v="AVAX"/>
    <n v="711700702933.64001"/>
    <n v="59095.64"/>
    <n v="19927591196.419998"/>
    <n v="10184515"/>
    <n v="11714278"/>
    <n v="12431012"/>
    <n v="52.51"/>
    <n v="2.89"/>
    <n v="-16.850000000000001"/>
    <n v="-7.89"/>
    <n v="9"/>
    <x v="4"/>
    <x v="1"/>
    <x v="1"/>
    <x v="7"/>
    <x v="1"/>
    <n v="58967"/>
    <n v="76.8"/>
    <n v="65.709999999999994"/>
    <n v="54.91"/>
    <n v="89.21"/>
  </r>
  <r>
    <s v="2024-12-07"/>
    <x v="4"/>
    <x v="7"/>
    <s v="AVAX"/>
    <n v="165523326449.35999"/>
    <n v="11628.3"/>
    <n v="5946890058.5799999"/>
    <n v="10167407"/>
    <n v="12276266"/>
    <n v="12414439"/>
    <n v="26.21"/>
    <n v="-4.4000000000000004"/>
    <n v="10.43"/>
    <n v="-32.51"/>
    <n v="121"/>
    <x v="0"/>
    <x v="3"/>
    <x v="3"/>
    <x v="5"/>
    <x v="1"/>
    <n v="27239"/>
    <n v="16.61"/>
    <n v="34.590000000000003"/>
    <n v="61.36"/>
    <n v="16.329999999999998"/>
  </r>
  <r>
    <s v="2024-09-29"/>
    <x v="11"/>
    <x v="7"/>
    <s v="AVAX"/>
    <n v="646018070418.76001"/>
    <n v="4901.72"/>
    <n v="44135139456.769997"/>
    <n v="14863468"/>
    <n v="17857779"/>
    <n v="18747216"/>
    <n v="45.36"/>
    <n v="-1.1599999999999999"/>
    <n v="-10.46"/>
    <n v="-37.4"/>
    <n v="5"/>
    <x v="2"/>
    <x v="0"/>
    <x v="0"/>
    <x v="11"/>
    <x v="1"/>
    <n v="39653"/>
    <n v="39.71"/>
    <n v="45.34"/>
    <n v="44.57"/>
    <n v="23.71"/>
  </r>
  <r>
    <s v="2024-08-09"/>
    <x v="5"/>
    <x v="0"/>
    <s v="LTC"/>
    <n v="688775337809.21997"/>
    <n v="18957.060000000001"/>
    <n v="48718157781.57"/>
    <n v="15538536"/>
    <n v="17512867"/>
    <n v="17611579"/>
    <n v="54.68"/>
    <n v="-2.98"/>
    <n v="5.26"/>
    <n v="27.61"/>
    <n v="112"/>
    <x v="2"/>
    <x v="1"/>
    <x v="0"/>
    <x v="7"/>
    <x v="0"/>
    <n v="57181"/>
    <n v="61.87"/>
    <n v="63.45"/>
    <n v="72.38"/>
    <n v="50.92"/>
  </r>
  <r>
    <s v="2024-04-06"/>
    <x v="8"/>
    <x v="5"/>
    <s v="XRP"/>
    <n v="503572779978.46997"/>
    <n v="24263.49"/>
    <n v="47194616572.860001"/>
    <n v="18582035"/>
    <n v="22918116"/>
    <n v="23786944"/>
    <n v="26.84"/>
    <n v="-2.82"/>
    <n v="0.34"/>
    <n v="26.39"/>
    <n v="63"/>
    <x v="2"/>
    <x v="3"/>
    <x v="2"/>
    <x v="13"/>
    <x v="2"/>
    <n v="48303"/>
    <n v="64.13"/>
    <n v="66.290000000000006"/>
    <n v="99.19"/>
    <n v="24.47"/>
  </r>
  <r>
    <s v="2024-04-30"/>
    <x v="8"/>
    <x v="1"/>
    <s v="BNB"/>
    <n v="720980019138.25"/>
    <n v="9019.59"/>
    <n v="30767789530.970001"/>
    <n v="17110427"/>
    <n v="18901805"/>
    <n v="19515530"/>
    <n v="12.32"/>
    <n v="4.1399999999999997"/>
    <n v="-1.31"/>
    <n v="30.07"/>
    <n v="145"/>
    <x v="3"/>
    <x v="4"/>
    <x v="1"/>
    <x v="10"/>
    <x v="1"/>
    <n v="58873"/>
    <n v="28.69"/>
    <n v="60.56"/>
    <n v="71.14"/>
    <n v="12.49"/>
  </r>
  <r>
    <s v="2024-09-10"/>
    <x v="11"/>
    <x v="2"/>
    <s v="ADA"/>
    <n v="827560210597.51001"/>
    <n v="102.09"/>
    <n v="2747359716.71"/>
    <n v="11096790"/>
    <n v="12846853"/>
    <n v="13420392"/>
    <n v="29.05"/>
    <n v="2.2200000000000002"/>
    <n v="-16.61"/>
    <n v="30.18"/>
    <n v="67"/>
    <x v="2"/>
    <x v="3"/>
    <x v="4"/>
    <x v="4"/>
    <x v="1"/>
    <n v="47360"/>
    <n v="59.44"/>
    <n v="46.74"/>
    <n v="42.63"/>
    <n v="99.35"/>
  </r>
  <r>
    <s v="2024-01-27"/>
    <x v="2"/>
    <x v="4"/>
    <s v="DOT"/>
    <n v="387881540930.52002"/>
    <n v="19271.810000000001"/>
    <n v="39344560239.519997"/>
    <n v="16108697"/>
    <n v="17652779"/>
    <n v="18534693"/>
    <n v="16.940000000000001"/>
    <n v="-2.2200000000000002"/>
    <n v="-15.26"/>
    <n v="-29.3"/>
    <n v="135"/>
    <x v="2"/>
    <x v="4"/>
    <x v="2"/>
    <x v="4"/>
    <x v="1"/>
    <n v="62312"/>
    <n v="49.32"/>
    <n v="71.38"/>
    <n v="91.9"/>
    <n v="63.71"/>
  </r>
  <r>
    <s v="2024-08-24"/>
    <x v="5"/>
    <x v="0"/>
    <s v="LTC"/>
    <n v="651437940146.41003"/>
    <n v="13327.31"/>
    <n v="46243219832.349998"/>
    <n v="8618674"/>
    <n v="10222252"/>
    <n v="10955407"/>
    <n v="56.43"/>
    <n v="-3.13"/>
    <n v="17.12"/>
    <n v="26.25"/>
    <n v="34"/>
    <x v="2"/>
    <x v="3"/>
    <x v="0"/>
    <x v="11"/>
    <x v="0"/>
    <n v="34461"/>
    <n v="83.36"/>
    <n v="33.72"/>
    <n v="17.170000000000002"/>
    <n v="53.11"/>
  </r>
  <r>
    <s v="2024-02-11"/>
    <x v="1"/>
    <x v="9"/>
    <s v="BTC"/>
    <n v="543423044818.84998"/>
    <n v="33293.08"/>
    <n v="36599528782.330002"/>
    <n v="5798161"/>
    <n v="8232046"/>
    <n v="8918801"/>
    <n v="57.13"/>
    <n v="0.7"/>
    <n v="3.26"/>
    <n v="-39.299999999999997"/>
    <n v="22"/>
    <x v="2"/>
    <x v="0"/>
    <x v="3"/>
    <x v="3"/>
    <x v="0"/>
    <n v="16983"/>
    <n v="91.45"/>
    <n v="78.67"/>
    <n v="50.15"/>
    <n v="60.94"/>
  </r>
  <r>
    <s v="2024-06-18"/>
    <x v="7"/>
    <x v="2"/>
    <s v="ADA"/>
    <n v="271074239633.26001"/>
    <n v="28756.66"/>
    <n v="47640528840.82"/>
    <n v="4362390"/>
    <n v="5976386"/>
    <n v="6388522"/>
    <n v="25.9"/>
    <n v="4.6500000000000004"/>
    <n v="-8.02"/>
    <n v="-1.1100000000000001"/>
    <n v="192"/>
    <x v="1"/>
    <x v="3"/>
    <x v="0"/>
    <x v="1"/>
    <x v="1"/>
    <n v="55439"/>
    <n v="30.86"/>
    <n v="65.55"/>
    <n v="65.94"/>
    <n v="43.46"/>
  </r>
  <r>
    <s v="2024-12-28"/>
    <x v="4"/>
    <x v="0"/>
    <s v="LTC"/>
    <n v="586262547013.02002"/>
    <n v="57154.28"/>
    <n v="46953175463.970001"/>
    <n v="3968957"/>
    <n v="7329047"/>
    <n v="7417408"/>
    <n v="22.59"/>
    <n v="-3.5"/>
    <n v="6.15"/>
    <n v="-0.95"/>
    <n v="158"/>
    <x v="3"/>
    <x v="0"/>
    <x v="0"/>
    <x v="12"/>
    <x v="0"/>
    <n v="6912"/>
    <n v="11.29"/>
    <n v="32.18"/>
    <n v="78.38"/>
    <n v="71.260000000000005"/>
  </r>
  <r>
    <s v="2024-01-22"/>
    <x v="2"/>
    <x v="8"/>
    <s v="ETH"/>
    <n v="232740464499.94"/>
    <n v="45940.25"/>
    <n v="22936030683.439999"/>
    <n v="11712906"/>
    <n v="14560687"/>
    <n v="15417212"/>
    <n v="25.48"/>
    <n v="0.32"/>
    <n v="-2.29"/>
    <n v="13.53"/>
    <n v="136"/>
    <x v="4"/>
    <x v="1"/>
    <x v="1"/>
    <x v="8"/>
    <x v="1"/>
    <n v="38007"/>
    <n v="61.2"/>
    <n v="84.37"/>
    <n v="63.82"/>
    <n v="42.4"/>
  </r>
  <r>
    <s v="2024-04-27"/>
    <x v="8"/>
    <x v="7"/>
    <s v="AVAX"/>
    <n v="233438632826.04999"/>
    <n v="62069.64"/>
    <n v="11801399239.48"/>
    <n v="15904263"/>
    <n v="16330926"/>
    <n v="16897217"/>
    <n v="56.51"/>
    <n v="-4.63"/>
    <n v="-6.77"/>
    <n v="-3.24"/>
    <n v="184"/>
    <x v="1"/>
    <x v="4"/>
    <x v="4"/>
    <x v="0"/>
    <x v="1"/>
    <n v="8969"/>
    <n v="62.95"/>
    <n v="87.33"/>
    <n v="96.05"/>
    <n v="23.82"/>
  </r>
  <r>
    <s v="2024-09-14"/>
    <x v="11"/>
    <x v="9"/>
    <s v="BTC"/>
    <n v="748953007489.28003"/>
    <n v="13498.64"/>
    <n v="20691973251.860001"/>
    <n v="17240539"/>
    <n v="20361672"/>
    <n v="21281716"/>
    <n v="16.100000000000001"/>
    <n v="-0.68"/>
    <n v="-19.91"/>
    <n v="38.94"/>
    <n v="56"/>
    <x v="3"/>
    <x v="3"/>
    <x v="2"/>
    <x v="10"/>
    <x v="0"/>
    <n v="40058"/>
    <n v="63.26"/>
    <n v="37.42"/>
    <n v="44.26"/>
    <n v="68.239999999999995"/>
  </r>
  <r>
    <s v="2024-04-23"/>
    <x v="8"/>
    <x v="6"/>
    <s v="DOGE"/>
    <n v="439445784725.97998"/>
    <n v="32948.839999999997"/>
    <n v="43041092114.739998"/>
    <n v="4264675"/>
    <n v="4896738"/>
    <n v="5125045"/>
    <n v="13.58"/>
    <n v="-3.41"/>
    <n v="0.17"/>
    <n v="-20.02"/>
    <n v="46"/>
    <x v="4"/>
    <x v="0"/>
    <x v="3"/>
    <x v="0"/>
    <x v="0"/>
    <n v="64685"/>
    <n v="96.38"/>
    <n v="73.64"/>
    <n v="83.71"/>
    <n v="99.47"/>
  </r>
  <r>
    <s v="2024-06-06"/>
    <x v="7"/>
    <x v="1"/>
    <s v="BNB"/>
    <n v="775513370609.68005"/>
    <n v="56387.88"/>
    <n v="14738558668.25"/>
    <n v="7386252"/>
    <n v="8254190"/>
    <n v="8757102"/>
    <n v="18.309999999999999"/>
    <n v="3.61"/>
    <n v="-10.64"/>
    <n v="15.47"/>
    <n v="51"/>
    <x v="2"/>
    <x v="2"/>
    <x v="4"/>
    <x v="12"/>
    <x v="1"/>
    <n v="25078"/>
    <n v="53.1"/>
    <n v="61.62"/>
    <n v="96.32"/>
    <n v="43.49"/>
  </r>
  <r>
    <s v="2024-06-30"/>
    <x v="7"/>
    <x v="0"/>
    <s v="LTC"/>
    <n v="352202612326.29999"/>
    <n v="45324.72"/>
    <n v="21739403129.189999"/>
    <n v="3018527"/>
    <n v="4302310"/>
    <n v="4959393"/>
    <n v="43.78"/>
    <n v="-2.2200000000000002"/>
    <n v="-5.78"/>
    <n v="2.11"/>
    <n v="170"/>
    <x v="1"/>
    <x v="3"/>
    <x v="4"/>
    <x v="13"/>
    <x v="0"/>
    <n v="58296"/>
    <n v="20.02"/>
    <n v="94.58"/>
    <n v="70.27"/>
    <n v="15.24"/>
  </r>
  <r>
    <s v="2024-07-07"/>
    <x v="0"/>
    <x v="7"/>
    <s v="AVAX"/>
    <n v="836144447745.82996"/>
    <n v="6296.34"/>
    <n v="32383073664.470001"/>
    <n v="1350828"/>
    <n v="2537093"/>
    <n v="2679520"/>
    <n v="23.76"/>
    <n v="1.81"/>
    <n v="-9.34"/>
    <n v="1.19"/>
    <n v="121"/>
    <x v="4"/>
    <x v="1"/>
    <x v="4"/>
    <x v="7"/>
    <x v="1"/>
    <n v="46382"/>
    <n v="95.79"/>
    <n v="76.36"/>
    <n v="46.28"/>
    <n v="73.28"/>
  </r>
  <r>
    <s v="2024-10-17"/>
    <x v="10"/>
    <x v="7"/>
    <s v="AVAX"/>
    <n v="872584000653.83997"/>
    <n v="69675.350000000006"/>
    <n v="24817858747.599998"/>
    <n v="8818072"/>
    <n v="9426909"/>
    <n v="9738190"/>
    <n v="9.51"/>
    <n v="-0.18"/>
    <n v="-5.29"/>
    <n v="-2.5099999999999998"/>
    <n v="145"/>
    <x v="3"/>
    <x v="2"/>
    <x v="2"/>
    <x v="13"/>
    <x v="1"/>
    <n v="53099"/>
    <n v="20.87"/>
    <n v="68.14"/>
    <n v="14.03"/>
    <n v="29"/>
  </r>
  <r>
    <s v="2024-06-25"/>
    <x v="7"/>
    <x v="0"/>
    <s v="LTC"/>
    <n v="313591761148.94"/>
    <n v="50163.41"/>
    <n v="25444615851.150002"/>
    <n v="12163363"/>
    <n v="13557476"/>
    <n v="13932697"/>
    <n v="15.03"/>
    <n v="0.43"/>
    <n v="12.22"/>
    <n v="32.53"/>
    <n v="132"/>
    <x v="3"/>
    <x v="4"/>
    <x v="1"/>
    <x v="7"/>
    <x v="0"/>
    <n v="61073"/>
    <n v="72.02"/>
    <n v="41.6"/>
    <n v="82.28"/>
    <n v="28.85"/>
  </r>
  <r>
    <s v="2024-09-11"/>
    <x v="11"/>
    <x v="4"/>
    <s v="DOT"/>
    <n v="462316347201.17999"/>
    <n v="62518.45"/>
    <n v="16309339509.65"/>
    <n v="14363660"/>
    <n v="18020934"/>
    <n v="18298839"/>
    <n v="30.76"/>
    <n v="-4.88"/>
    <n v="-7.99"/>
    <n v="19.170000000000002"/>
    <n v="171"/>
    <x v="3"/>
    <x v="0"/>
    <x v="3"/>
    <x v="0"/>
    <x v="1"/>
    <n v="60936"/>
    <n v="75.459999999999994"/>
    <n v="86.19"/>
    <n v="76.31"/>
    <n v="48.95"/>
  </r>
  <r>
    <s v="2024-07-06"/>
    <x v="0"/>
    <x v="4"/>
    <s v="DOT"/>
    <n v="597021575392.76001"/>
    <n v="32599.73"/>
    <n v="13279557674.33"/>
    <n v="14481199"/>
    <n v="14642811"/>
    <n v="15136491"/>
    <n v="9.24"/>
    <n v="1.33"/>
    <n v="10.98"/>
    <n v="-7.96"/>
    <n v="79"/>
    <x v="0"/>
    <x v="4"/>
    <x v="2"/>
    <x v="13"/>
    <x v="1"/>
    <n v="18262"/>
    <n v="91.22"/>
    <n v="88"/>
    <n v="32.78"/>
    <n v="49.87"/>
  </r>
  <r>
    <s v="2024-03-08"/>
    <x v="9"/>
    <x v="2"/>
    <s v="ADA"/>
    <n v="741436770516.85999"/>
    <n v="67801.66"/>
    <n v="45368954118.57"/>
    <n v="16234419"/>
    <n v="19707516"/>
    <n v="19757567"/>
    <n v="54.12"/>
    <n v="-0.28999999999999998"/>
    <n v="16.22"/>
    <n v="-30.4"/>
    <n v="22"/>
    <x v="4"/>
    <x v="4"/>
    <x v="2"/>
    <x v="4"/>
    <x v="1"/>
    <n v="7318"/>
    <n v="45.1"/>
    <n v="91.29"/>
    <n v="67.8"/>
    <n v="83.93"/>
  </r>
  <r>
    <s v="2024-01-11"/>
    <x v="2"/>
    <x v="7"/>
    <s v="AVAX"/>
    <n v="464586147709.90002"/>
    <n v="69258.429999999993"/>
    <n v="5511721904.3800001"/>
    <n v="7760787"/>
    <n v="11562502"/>
    <n v="12222998"/>
    <n v="41.23"/>
    <n v="1.63"/>
    <n v="11.25"/>
    <n v="31.31"/>
    <n v="12"/>
    <x v="1"/>
    <x v="1"/>
    <x v="2"/>
    <x v="0"/>
    <x v="1"/>
    <n v="29042"/>
    <n v="29.39"/>
    <n v="78.08"/>
    <n v="36.01"/>
    <n v="86.43"/>
  </r>
  <r>
    <s v="2024-01-12"/>
    <x v="2"/>
    <x v="5"/>
    <s v="XRP"/>
    <n v="475998707849.13"/>
    <n v="13909.5"/>
    <n v="32080800019.919998"/>
    <n v="8192164"/>
    <n v="8550683"/>
    <n v="9281406"/>
    <n v="16.420000000000002"/>
    <n v="-0.12"/>
    <n v="11.95"/>
    <n v="12.38"/>
    <n v="161"/>
    <x v="3"/>
    <x v="2"/>
    <x v="1"/>
    <x v="10"/>
    <x v="2"/>
    <n v="6883"/>
    <n v="77.53"/>
    <n v="39.68"/>
    <n v="20.83"/>
    <n v="70.03"/>
  </r>
  <r>
    <s v="2024-06-08"/>
    <x v="7"/>
    <x v="5"/>
    <s v="XRP"/>
    <n v="337954895104.62"/>
    <n v="49324.83"/>
    <n v="14532663168.27"/>
    <n v="10826723"/>
    <n v="14164696"/>
    <n v="14741739"/>
    <n v="33.67"/>
    <n v="-0.3"/>
    <n v="1.83"/>
    <n v="19.760000000000002"/>
    <n v="91"/>
    <x v="2"/>
    <x v="0"/>
    <x v="3"/>
    <x v="2"/>
    <x v="2"/>
    <n v="21396"/>
    <n v="62.02"/>
    <n v="49.72"/>
    <n v="44.2"/>
    <n v="65.59"/>
  </r>
  <r>
    <s v="2024-09-16"/>
    <x v="11"/>
    <x v="5"/>
    <s v="XRP"/>
    <n v="89362226637.880005"/>
    <n v="21307.64"/>
    <n v="49881008583.160004"/>
    <n v="1652249"/>
    <n v="4184663"/>
    <n v="5165686"/>
    <n v="43.32"/>
    <n v="-2.61"/>
    <n v="-9.74"/>
    <n v="20.23"/>
    <n v="119"/>
    <x v="4"/>
    <x v="2"/>
    <x v="1"/>
    <x v="4"/>
    <x v="2"/>
    <n v="23016"/>
    <n v="56.83"/>
    <n v="49.66"/>
    <n v="84.83"/>
    <n v="56.97"/>
  </r>
  <r>
    <s v="2024-08-16"/>
    <x v="5"/>
    <x v="9"/>
    <s v="BTC"/>
    <n v="284468328573.64001"/>
    <n v="67450.48"/>
    <n v="19762302379.669998"/>
    <n v="11392541"/>
    <n v="14583164"/>
    <n v="14740346"/>
    <n v="47.75"/>
    <n v="-4.17"/>
    <n v="-2.4300000000000002"/>
    <n v="24.77"/>
    <n v="142"/>
    <x v="0"/>
    <x v="3"/>
    <x v="4"/>
    <x v="13"/>
    <x v="0"/>
    <n v="2672"/>
    <n v="88.31"/>
    <n v="66.48"/>
    <n v="48.11"/>
    <n v="85.15"/>
  </r>
  <r>
    <s v="2024-01-03"/>
    <x v="2"/>
    <x v="6"/>
    <s v="DOGE"/>
    <n v="117033980709.95"/>
    <n v="31254.25"/>
    <n v="3002693891.9000001"/>
    <n v="4619699"/>
    <n v="4868423"/>
    <n v="5684546"/>
    <n v="59.44"/>
    <n v="1.53"/>
    <n v="1.38"/>
    <n v="11.93"/>
    <n v="118"/>
    <x v="3"/>
    <x v="4"/>
    <x v="0"/>
    <x v="11"/>
    <x v="0"/>
    <n v="22723"/>
    <n v="61.58"/>
    <n v="64.94"/>
    <n v="33.19"/>
    <n v="23.92"/>
  </r>
  <r>
    <s v="2024-10-29"/>
    <x v="10"/>
    <x v="4"/>
    <s v="DOT"/>
    <n v="21725777922.290001"/>
    <n v="32119.759999999998"/>
    <n v="37591360331.620003"/>
    <n v="8788902"/>
    <n v="13718781"/>
    <n v="14642720"/>
    <n v="14.58"/>
    <n v="0.12"/>
    <n v="18.7"/>
    <n v="-37.799999999999997"/>
    <n v="11"/>
    <x v="3"/>
    <x v="4"/>
    <x v="1"/>
    <x v="8"/>
    <x v="1"/>
    <n v="33874"/>
    <n v="60.52"/>
    <n v="96.76"/>
    <n v="56.54"/>
    <n v="40.18"/>
  </r>
  <r>
    <s v="2024-02-09"/>
    <x v="1"/>
    <x v="5"/>
    <s v="XRP"/>
    <n v="71873324035.649994"/>
    <n v="13873.42"/>
    <n v="16114217007.77"/>
    <n v="11242010"/>
    <n v="15127498"/>
    <n v="15866789"/>
    <n v="34.5"/>
    <n v="3.41"/>
    <n v="15.28"/>
    <n v="10.63"/>
    <n v="2"/>
    <x v="2"/>
    <x v="0"/>
    <x v="3"/>
    <x v="3"/>
    <x v="2"/>
    <n v="57261"/>
    <n v="27.08"/>
    <n v="70"/>
    <n v="14.67"/>
    <n v="67.56"/>
  </r>
  <r>
    <s v="2024-11-07"/>
    <x v="3"/>
    <x v="1"/>
    <s v="BNB"/>
    <n v="696713080420.76001"/>
    <n v="19967.349999999999"/>
    <n v="33530516694.07"/>
    <n v="7158130"/>
    <n v="11009771"/>
    <n v="12003409"/>
    <n v="28.19"/>
    <n v="2.93"/>
    <n v="7.94"/>
    <n v="13.24"/>
    <n v="95"/>
    <x v="4"/>
    <x v="2"/>
    <x v="1"/>
    <x v="2"/>
    <x v="1"/>
    <n v="60697"/>
    <n v="85.45"/>
    <n v="99.98"/>
    <n v="53.6"/>
    <n v="89.17"/>
  </r>
  <r>
    <s v="2024-08-11"/>
    <x v="5"/>
    <x v="0"/>
    <s v="LTC"/>
    <n v="79527463890.190002"/>
    <n v="15623.23"/>
    <n v="33886130641.5"/>
    <n v="12270796"/>
    <n v="15451172"/>
    <n v="15946969"/>
    <n v="57.02"/>
    <n v="2.21"/>
    <n v="16.59"/>
    <n v="38.229999999999997"/>
    <n v="189"/>
    <x v="2"/>
    <x v="0"/>
    <x v="0"/>
    <x v="11"/>
    <x v="0"/>
    <n v="3632"/>
    <n v="52.9"/>
    <n v="97.67"/>
    <n v="47.98"/>
    <n v="17.63"/>
  </r>
  <r>
    <s v="2024-04-03"/>
    <x v="8"/>
    <x v="2"/>
    <s v="ADA"/>
    <n v="611351967734.85999"/>
    <n v="21325.86"/>
    <n v="9086210230.9099998"/>
    <n v="4166966"/>
    <n v="7720147"/>
    <n v="8479110"/>
    <n v="11.33"/>
    <n v="0.14000000000000001"/>
    <n v="-17.02"/>
    <n v="4.46"/>
    <n v="177"/>
    <x v="4"/>
    <x v="3"/>
    <x v="4"/>
    <x v="10"/>
    <x v="1"/>
    <n v="46650"/>
    <n v="40.21"/>
    <n v="56.87"/>
    <n v="87.42"/>
    <n v="90"/>
  </r>
  <r>
    <s v="2024-05-29"/>
    <x v="6"/>
    <x v="6"/>
    <s v="DOGE"/>
    <n v="548391655740.45001"/>
    <n v="42403.71"/>
    <n v="4767211967.1099997"/>
    <n v="6121395"/>
    <n v="7559177"/>
    <n v="7878882"/>
    <n v="40.78"/>
    <n v="0.6"/>
    <n v="-7.79"/>
    <n v="34.46"/>
    <n v="78"/>
    <x v="2"/>
    <x v="3"/>
    <x v="3"/>
    <x v="11"/>
    <x v="0"/>
    <n v="51337"/>
    <n v="30.44"/>
    <n v="98.38"/>
    <n v="66.48"/>
    <n v="19.28"/>
  </r>
  <r>
    <s v="2024-10-08"/>
    <x v="10"/>
    <x v="3"/>
    <s v="SOL"/>
    <n v="697280723979.79004"/>
    <n v="39364.730000000003"/>
    <n v="33565832386.59"/>
    <n v="1429231"/>
    <n v="5592373"/>
    <n v="5903411"/>
    <n v="41.24"/>
    <n v="2.25"/>
    <n v="8.8699999999999992"/>
    <n v="-14.69"/>
    <n v="88"/>
    <x v="1"/>
    <x v="0"/>
    <x v="0"/>
    <x v="10"/>
    <x v="1"/>
    <n v="19206"/>
    <n v="95.31"/>
    <n v="87.29"/>
    <n v="61.81"/>
    <n v="30.15"/>
  </r>
  <r>
    <s v="2024-09-23"/>
    <x v="11"/>
    <x v="8"/>
    <s v="ETH"/>
    <n v="87312132576.270004"/>
    <n v="30558"/>
    <n v="12896296373.700001"/>
    <n v="12419979"/>
    <n v="14900049"/>
    <n v="15129907"/>
    <n v="29.05"/>
    <n v="-0.33"/>
    <n v="-17.55"/>
    <n v="32.35"/>
    <n v="163"/>
    <x v="1"/>
    <x v="1"/>
    <x v="4"/>
    <x v="10"/>
    <x v="1"/>
    <n v="55543"/>
    <n v="67.540000000000006"/>
    <n v="30.68"/>
    <n v="49.39"/>
    <n v="26.09"/>
  </r>
  <r>
    <s v="2024-04-21"/>
    <x v="8"/>
    <x v="8"/>
    <s v="ETH"/>
    <n v="749973530033.02002"/>
    <n v="69633.960000000006"/>
    <n v="5190156417.0299997"/>
    <n v="14648006"/>
    <n v="19362490"/>
    <n v="20227066"/>
    <n v="7.53"/>
    <n v="3.93"/>
    <n v="16.07"/>
    <n v="31.77"/>
    <n v="77"/>
    <x v="2"/>
    <x v="3"/>
    <x v="1"/>
    <x v="10"/>
    <x v="1"/>
    <n v="33756"/>
    <n v="34.43"/>
    <n v="62.97"/>
    <n v="41.99"/>
    <n v="23.56"/>
  </r>
  <r>
    <s v="2024-11-09"/>
    <x v="3"/>
    <x v="2"/>
    <s v="ADA"/>
    <n v="689545613299.12"/>
    <n v="27371.68"/>
    <n v="23267771018.18"/>
    <n v="9714200"/>
    <n v="10439182"/>
    <n v="10595023"/>
    <n v="45.48"/>
    <n v="1.85"/>
    <n v="9.9499999999999993"/>
    <n v="29.73"/>
    <n v="70"/>
    <x v="0"/>
    <x v="1"/>
    <x v="1"/>
    <x v="9"/>
    <x v="1"/>
    <n v="44492"/>
    <n v="21.81"/>
    <n v="31.22"/>
    <n v="95.11"/>
    <n v="54.74"/>
  </r>
  <r>
    <s v="2024-01-06"/>
    <x v="2"/>
    <x v="7"/>
    <s v="AVAX"/>
    <n v="836360599312.43994"/>
    <n v="34482.51"/>
    <n v="45202946585.419998"/>
    <n v="10227479"/>
    <n v="14065308"/>
    <n v="14081700"/>
    <n v="0.91"/>
    <n v="3.06"/>
    <n v="-2.39"/>
    <n v="-31.85"/>
    <n v="166"/>
    <x v="4"/>
    <x v="3"/>
    <x v="1"/>
    <x v="12"/>
    <x v="1"/>
    <n v="34074"/>
    <n v="31.47"/>
    <n v="62.61"/>
    <n v="37.83"/>
    <n v="27.34"/>
  </r>
  <r>
    <s v="2024-09-25"/>
    <x v="11"/>
    <x v="2"/>
    <s v="ADA"/>
    <n v="728909640265.23999"/>
    <n v="46563.69"/>
    <n v="10911893091.639999"/>
    <n v="6281653"/>
    <n v="7007523"/>
    <n v="7695309"/>
    <n v="14"/>
    <n v="3.83"/>
    <n v="-14.51"/>
    <n v="13.26"/>
    <n v="188"/>
    <x v="3"/>
    <x v="1"/>
    <x v="1"/>
    <x v="3"/>
    <x v="1"/>
    <n v="43064"/>
    <n v="20.02"/>
    <n v="86.12"/>
    <n v="92.08"/>
    <n v="25.09"/>
  </r>
  <r>
    <s v="2024-09-18"/>
    <x v="11"/>
    <x v="7"/>
    <s v="AVAX"/>
    <n v="798475698994.95996"/>
    <n v="20878.11"/>
    <n v="2771130678.77"/>
    <n v="4618584"/>
    <n v="9069659"/>
    <n v="9188364"/>
    <n v="58.46"/>
    <n v="-2.14"/>
    <n v="9.57"/>
    <n v="13.4"/>
    <n v="65"/>
    <x v="1"/>
    <x v="1"/>
    <x v="3"/>
    <x v="4"/>
    <x v="1"/>
    <n v="38240"/>
    <n v="20.66"/>
    <n v="32.39"/>
    <n v="21.06"/>
    <n v="26.68"/>
  </r>
  <r>
    <s v="2024-11-18"/>
    <x v="3"/>
    <x v="4"/>
    <s v="DOT"/>
    <n v="860252011124.84998"/>
    <n v="55996.04"/>
    <n v="29526047104.419998"/>
    <n v="12418622"/>
    <n v="16562726"/>
    <n v="16673119"/>
    <n v="38.97"/>
    <n v="-1.1000000000000001"/>
    <n v="2.5499999999999998"/>
    <n v="14.78"/>
    <n v="38"/>
    <x v="3"/>
    <x v="1"/>
    <x v="4"/>
    <x v="6"/>
    <x v="1"/>
    <n v="57707"/>
    <n v="74.5"/>
    <n v="35.83"/>
    <n v="96.13"/>
    <n v="13.97"/>
  </r>
  <r>
    <s v="2024-12-19"/>
    <x v="4"/>
    <x v="4"/>
    <s v="DOT"/>
    <n v="740288121078.73999"/>
    <n v="58611.85"/>
    <n v="20473183842.18"/>
    <n v="2656930"/>
    <n v="5832587"/>
    <n v="5896915"/>
    <n v="43.88"/>
    <n v="1.79"/>
    <n v="17.760000000000002"/>
    <n v="-34.200000000000003"/>
    <n v="101"/>
    <x v="2"/>
    <x v="3"/>
    <x v="3"/>
    <x v="2"/>
    <x v="1"/>
    <n v="35147"/>
    <n v="45.34"/>
    <n v="52.36"/>
    <n v="34.590000000000003"/>
    <n v="37.56"/>
  </r>
  <r>
    <s v="2024-08-30"/>
    <x v="5"/>
    <x v="7"/>
    <s v="AVAX"/>
    <n v="617970670265.28003"/>
    <n v="19818.28"/>
    <n v="41963577871.669998"/>
    <n v="14309951"/>
    <n v="16037092"/>
    <n v="16336001"/>
    <n v="32.69"/>
    <n v="4.5199999999999996"/>
    <n v="-15.91"/>
    <n v="-14.68"/>
    <n v="81"/>
    <x v="4"/>
    <x v="3"/>
    <x v="3"/>
    <x v="0"/>
    <x v="1"/>
    <n v="42249"/>
    <n v="82.36"/>
    <n v="61.16"/>
    <n v="40.549999999999997"/>
    <n v="69.17"/>
  </r>
  <r>
    <s v="2024-07-09"/>
    <x v="0"/>
    <x v="1"/>
    <s v="BNB"/>
    <n v="752154789459.79004"/>
    <n v="45270.69"/>
    <n v="26091581439.330002"/>
    <n v="8939253"/>
    <n v="13434229"/>
    <n v="13876317"/>
    <n v="49.37"/>
    <n v="2.0099999999999998"/>
    <n v="-9.5"/>
    <n v="5.38"/>
    <n v="16"/>
    <x v="4"/>
    <x v="0"/>
    <x v="0"/>
    <x v="8"/>
    <x v="1"/>
    <n v="50360"/>
    <n v="20.420000000000002"/>
    <n v="42.85"/>
    <n v="80.14"/>
    <n v="52.49"/>
  </r>
  <r>
    <s v="2024-04-14"/>
    <x v="8"/>
    <x v="1"/>
    <s v="BNB"/>
    <n v="252881170817.28"/>
    <n v="12810.1"/>
    <n v="42696351538.989998"/>
    <n v="5882062"/>
    <n v="9389602"/>
    <n v="10128766"/>
    <n v="7"/>
    <n v="0.2"/>
    <n v="6.37"/>
    <n v="-34.93"/>
    <n v="44"/>
    <x v="2"/>
    <x v="0"/>
    <x v="0"/>
    <x v="5"/>
    <x v="1"/>
    <n v="31877"/>
    <n v="45.65"/>
    <n v="20.13"/>
    <n v="70.63"/>
    <n v="98.23"/>
  </r>
  <r>
    <s v="2024-01-11"/>
    <x v="2"/>
    <x v="3"/>
    <s v="SOL"/>
    <n v="383045925005.27002"/>
    <n v="21584.86"/>
    <n v="4399475629.7700005"/>
    <n v="14085054"/>
    <n v="14929715"/>
    <n v="15709557"/>
    <n v="25.54"/>
    <n v="0.56000000000000005"/>
    <n v="16.3"/>
    <n v="-15.94"/>
    <n v="132"/>
    <x v="3"/>
    <x v="4"/>
    <x v="1"/>
    <x v="8"/>
    <x v="1"/>
    <n v="34520"/>
    <n v="57.25"/>
    <n v="83.73"/>
    <n v="62.34"/>
    <n v="74.27"/>
  </r>
  <r>
    <s v="2024-07-03"/>
    <x v="0"/>
    <x v="8"/>
    <s v="ETH"/>
    <n v="70942128844.759995"/>
    <n v="57703.44"/>
    <n v="11100416585.860001"/>
    <n v="11748240"/>
    <n v="16428721"/>
    <n v="16508252"/>
    <n v="43.86"/>
    <n v="2.9"/>
    <n v="4.9000000000000004"/>
    <n v="12.93"/>
    <n v="16"/>
    <x v="4"/>
    <x v="0"/>
    <x v="1"/>
    <x v="1"/>
    <x v="1"/>
    <n v="58443"/>
    <n v="33.950000000000003"/>
    <n v="57.71"/>
    <n v="81.06"/>
    <n v="24.44"/>
  </r>
  <r>
    <s v="2024-07-21"/>
    <x v="0"/>
    <x v="3"/>
    <s v="SOL"/>
    <n v="311448614027.65002"/>
    <n v="8122.44"/>
    <n v="16035017283.129999"/>
    <n v="4788128"/>
    <n v="6948609"/>
    <n v="7575108"/>
    <n v="7.16"/>
    <n v="-1.84"/>
    <n v="-3.25"/>
    <n v="1.7"/>
    <n v="79"/>
    <x v="0"/>
    <x v="4"/>
    <x v="2"/>
    <x v="4"/>
    <x v="1"/>
    <n v="62180"/>
    <n v="62.26"/>
    <n v="64.69"/>
    <n v="43.85"/>
    <n v="89.73"/>
  </r>
  <r>
    <s v="2024-05-30"/>
    <x v="6"/>
    <x v="0"/>
    <s v="LTC"/>
    <n v="485599155346.17999"/>
    <n v="42153.71"/>
    <n v="33586039192.919998"/>
    <n v="7325072"/>
    <n v="12118668"/>
    <n v="12341330"/>
    <n v="27.72"/>
    <n v="-3.22"/>
    <n v="5.53"/>
    <n v="-7.08"/>
    <n v="183"/>
    <x v="1"/>
    <x v="2"/>
    <x v="4"/>
    <x v="3"/>
    <x v="0"/>
    <n v="47794"/>
    <n v="17.48"/>
    <n v="60.75"/>
    <n v="91.4"/>
    <n v="90.7"/>
  </r>
  <r>
    <s v="2024-08-17"/>
    <x v="5"/>
    <x v="2"/>
    <s v="ADA"/>
    <n v="235898266718.79001"/>
    <n v="35181.86"/>
    <n v="5535605993.71"/>
    <n v="7541159"/>
    <n v="11355638"/>
    <n v="11933260"/>
    <n v="49.53"/>
    <n v="-1.78"/>
    <n v="11.46"/>
    <n v="-5.0199999999999996"/>
    <n v="100"/>
    <x v="1"/>
    <x v="2"/>
    <x v="0"/>
    <x v="13"/>
    <x v="1"/>
    <n v="51514"/>
    <n v="67.69"/>
    <n v="85.23"/>
    <n v="78.239999999999995"/>
    <n v="64.56"/>
  </r>
  <r>
    <s v="2024-11-11"/>
    <x v="3"/>
    <x v="8"/>
    <s v="ETH"/>
    <n v="487600633797.85999"/>
    <n v="58626.3"/>
    <n v="12211408301.75"/>
    <n v="16621858"/>
    <n v="18387150"/>
    <n v="18606375"/>
    <n v="0.18"/>
    <n v="0.73"/>
    <n v="-2.14"/>
    <n v="23.85"/>
    <n v="118"/>
    <x v="3"/>
    <x v="0"/>
    <x v="4"/>
    <x v="7"/>
    <x v="1"/>
    <n v="29091"/>
    <n v="86.52"/>
    <n v="73.25"/>
    <n v="46.14"/>
    <n v="15.41"/>
  </r>
  <r>
    <s v="2024-02-01"/>
    <x v="1"/>
    <x v="8"/>
    <s v="ETH"/>
    <n v="763514453494.93994"/>
    <n v="9758.02"/>
    <n v="18498205520.099998"/>
    <n v="15490621"/>
    <n v="17112941"/>
    <n v="17166040"/>
    <n v="22.14"/>
    <n v="-1.45"/>
    <n v="-15.71"/>
    <n v="-28.21"/>
    <n v="195"/>
    <x v="2"/>
    <x v="2"/>
    <x v="0"/>
    <x v="9"/>
    <x v="1"/>
    <n v="5656"/>
    <n v="46.54"/>
    <n v="74.150000000000006"/>
    <n v="74.290000000000006"/>
    <n v="14.32"/>
  </r>
  <r>
    <s v="2024-10-21"/>
    <x v="10"/>
    <x v="9"/>
    <s v="BTC"/>
    <n v="29067693789.349998"/>
    <n v="61224.34"/>
    <n v="40254816773.629997"/>
    <n v="10515244"/>
    <n v="15226224"/>
    <n v="15568107"/>
    <n v="33.06"/>
    <n v="-3.25"/>
    <n v="4.3600000000000003"/>
    <n v="-7.87"/>
    <n v="120"/>
    <x v="0"/>
    <x v="0"/>
    <x v="0"/>
    <x v="9"/>
    <x v="0"/>
    <n v="33265"/>
    <n v="11.3"/>
    <n v="34.4"/>
    <n v="58.62"/>
    <n v="81.260000000000005"/>
  </r>
  <r>
    <s v="2024-01-16"/>
    <x v="2"/>
    <x v="9"/>
    <s v="BTC"/>
    <n v="250732326245.92999"/>
    <n v="58974"/>
    <n v="20191235526.169998"/>
    <n v="4208849"/>
    <n v="5266649"/>
    <n v="6173314"/>
    <n v="23.04"/>
    <n v="-0.44"/>
    <n v="-18.52"/>
    <n v="-25.89"/>
    <n v="72"/>
    <x v="4"/>
    <x v="3"/>
    <x v="4"/>
    <x v="6"/>
    <x v="0"/>
    <n v="44882"/>
    <n v="81.819999999999993"/>
    <n v="76.03"/>
    <n v="94.52"/>
    <n v="29.15"/>
  </r>
  <r>
    <s v="2024-09-24"/>
    <x v="11"/>
    <x v="5"/>
    <s v="XRP"/>
    <n v="190888632776.85001"/>
    <n v="35512.11"/>
    <n v="46178701284.639999"/>
    <n v="4455655"/>
    <n v="5267341"/>
    <n v="5311095"/>
    <n v="34.799999999999997"/>
    <n v="4"/>
    <n v="-9.43"/>
    <n v="-29.86"/>
    <n v="170"/>
    <x v="1"/>
    <x v="3"/>
    <x v="4"/>
    <x v="6"/>
    <x v="2"/>
    <n v="55938"/>
    <n v="11.72"/>
    <n v="26.8"/>
    <n v="15.33"/>
    <n v="55.53"/>
  </r>
  <r>
    <s v="2024-06-17"/>
    <x v="7"/>
    <x v="1"/>
    <s v="BNB"/>
    <n v="702479099233.20996"/>
    <n v="67890.320000000007"/>
    <n v="27235142219.529999"/>
    <n v="15925886"/>
    <n v="19959767"/>
    <n v="20677375"/>
    <n v="12.22"/>
    <n v="-4.76"/>
    <n v="-18.25"/>
    <n v="-11.88"/>
    <n v="188"/>
    <x v="3"/>
    <x v="2"/>
    <x v="3"/>
    <x v="10"/>
    <x v="1"/>
    <n v="49551"/>
    <n v="75.7"/>
    <n v="44.95"/>
    <n v="25.06"/>
    <n v="41.71"/>
  </r>
  <r>
    <s v="2024-08-30"/>
    <x v="5"/>
    <x v="0"/>
    <s v="LTC"/>
    <n v="255073505285.31"/>
    <n v="54739.98"/>
    <n v="16753974232.35"/>
    <n v="3063896"/>
    <n v="5959737"/>
    <n v="6902203"/>
    <n v="19.510000000000002"/>
    <n v="-3.45"/>
    <n v="3.93"/>
    <n v="-31.33"/>
    <n v="51"/>
    <x v="0"/>
    <x v="3"/>
    <x v="1"/>
    <x v="4"/>
    <x v="0"/>
    <n v="8408"/>
    <n v="61.1"/>
    <n v="75.989999999999995"/>
    <n v="96.48"/>
    <n v="17.23"/>
  </r>
  <r>
    <s v="2024-12-27"/>
    <x v="4"/>
    <x v="2"/>
    <s v="ADA"/>
    <n v="772240582969.80005"/>
    <n v="42940.02"/>
    <n v="1389414631.5599999"/>
    <n v="11499395"/>
    <n v="12977829"/>
    <n v="13759994"/>
    <n v="34.71"/>
    <n v="2.95"/>
    <n v="1.69"/>
    <n v="-11.41"/>
    <n v="81"/>
    <x v="4"/>
    <x v="1"/>
    <x v="3"/>
    <x v="10"/>
    <x v="1"/>
    <n v="31182"/>
    <n v="59.61"/>
    <n v="23.28"/>
    <n v="60.16"/>
    <n v="40.5"/>
  </r>
  <r>
    <s v="2024-09-08"/>
    <x v="11"/>
    <x v="7"/>
    <s v="AVAX"/>
    <n v="277549744692.96002"/>
    <n v="11454.48"/>
    <n v="13121604367.15"/>
    <n v="5994172"/>
    <n v="9102892"/>
    <n v="9939181"/>
    <n v="15.8"/>
    <n v="-3.8"/>
    <n v="-0.59"/>
    <n v="-39.74"/>
    <n v="165"/>
    <x v="3"/>
    <x v="0"/>
    <x v="4"/>
    <x v="7"/>
    <x v="1"/>
    <n v="39292"/>
    <n v="91.64"/>
    <n v="66.760000000000005"/>
    <n v="31.95"/>
    <n v="85.04"/>
  </r>
  <r>
    <s v="2024-10-22"/>
    <x v="10"/>
    <x v="6"/>
    <s v="DOGE"/>
    <n v="577109427753.26001"/>
    <n v="25673.58"/>
    <n v="651598631.74000001"/>
    <n v="14531988"/>
    <n v="15769089"/>
    <n v="16034447"/>
    <n v="1.81"/>
    <n v="-3.09"/>
    <n v="7.31"/>
    <n v="-18.95"/>
    <n v="183"/>
    <x v="1"/>
    <x v="3"/>
    <x v="2"/>
    <x v="6"/>
    <x v="0"/>
    <n v="30469"/>
    <n v="37.840000000000003"/>
    <n v="59.64"/>
    <n v="44.38"/>
    <n v="77.14"/>
  </r>
  <r>
    <s v="2024-02-19"/>
    <x v="1"/>
    <x v="7"/>
    <s v="AVAX"/>
    <n v="856627807416.65002"/>
    <n v="63435.06"/>
    <n v="2209591844.8200002"/>
    <n v="2314135"/>
    <n v="6703117"/>
    <n v="7238203"/>
    <n v="16.5"/>
    <n v="-0.69"/>
    <n v="-3.48"/>
    <n v="36.729999999999997"/>
    <n v="166"/>
    <x v="3"/>
    <x v="2"/>
    <x v="0"/>
    <x v="0"/>
    <x v="1"/>
    <n v="19100"/>
    <n v="85.71"/>
    <n v="21.28"/>
    <n v="71.459999999999994"/>
    <n v="100"/>
  </r>
  <r>
    <s v="2024-12-25"/>
    <x v="4"/>
    <x v="8"/>
    <s v="ETH"/>
    <n v="710386466145.5"/>
    <n v="23309.439999999999"/>
    <n v="49753339701.660004"/>
    <n v="6115150"/>
    <n v="10701944"/>
    <n v="11335069"/>
    <n v="49.16"/>
    <n v="-0.28000000000000003"/>
    <n v="-6.5"/>
    <n v="36.5"/>
    <n v="56"/>
    <x v="4"/>
    <x v="2"/>
    <x v="0"/>
    <x v="1"/>
    <x v="1"/>
    <n v="39330"/>
    <n v="17.170000000000002"/>
    <n v="92.47"/>
    <n v="66.88"/>
    <n v="90.57"/>
  </r>
  <r>
    <s v="2024-10-29"/>
    <x v="10"/>
    <x v="7"/>
    <s v="AVAX"/>
    <n v="319668108192.57001"/>
    <n v="8530.2999999999993"/>
    <n v="48581099450.970001"/>
    <n v="16047692"/>
    <n v="20835461"/>
    <n v="21311864"/>
    <n v="41.25"/>
    <n v="-4.82"/>
    <n v="-9.69"/>
    <n v="-38.07"/>
    <n v="14"/>
    <x v="1"/>
    <x v="2"/>
    <x v="4"/>
    <x v="3"/>
    <x v="1"/>
    <n v="47875"/>
    <n v="26.23"/>
    <n v="93.43"/>
    <n v="95.36"/>
    <n v="69"/>
  </r>
  <r>
    <s v="2024-05-17"/>
    <x v="6"/>
    <x v="6"/>
    <s v="DOGE"/>
    <n v="6396102840.7799997"/>
    <n v="3298.82"/>
    <n v="31677127148.139999"/>
    <n v="3861601"/>
    <n v="4612157"/>
    <n v="5343116"/>
    <n v="21.86"/>
    <n v="-2.82"/>
    <n v="8.58"/>
    <n v="-36.89"/>
    <n v="16"/>
    <x v="2"/>
    <x v="4"/>
    <x v="3"/>
    <x v="8"/>
    <x v="0"/>
    <n v="31426"/>
    <n v="13.99"/>
    <n v="88.31"/>
    <n v="36.06"/>
    <n v="51.09"/>
  </r>
  <r>
    <s v="2024-05-17"/>
    <x v="6"/>
    <x v="2"/>
    <s v="ADA"/>
    <n v="135265985807.05"/>
    <n v="53356.3"/>
    <n v="12960555769.309999"/>
    <n v="2396359"/>
    <n v="4879038"/>
    <n v="5730791"/>
    <n v="10.67"/>
    <n v="-1.28"/>
    <n v="5.08"/>
    <n v="-1.86"/>
    <n v="9"/>
    <x v="0"/>
    <x v="3"/>
    <x v="2"/>
    <x v="5"/>
    <x v="1"/>
    <n v="34614"/>
    <n v="84.04"/>
    <n v="88.08"/>
    <n v="31.49"/>
    <n v="94.08"/>
  </r>
  <r>
    <s v="2024-08-19"/>
    <x v="5"/>
    <x v="4"/>
    <s v="DOT"/>
    <n v="284393516664.65002"/>
    <n v="27118.29"/>
    <n v="19601739908.650002"/>
    <n v="3298244"/>
    <n v="8087599"/>
    <n v="9007171"/>
    <n v="17.22"/>
    <n v="-2.82"/>
    <n v="11.79"/>
    <n v="-28.35"/>
    <n v="77"/>
    <x v="1"/>
    <x v="0"/>
    <x v="4"/>
    <x v="1"/>
    <x v="1"/>
    <n v="20252"/>
    <n v="84.33"/>
    <n v="56.58"/>
    <n v="60.93"/>
    <n v="31.4"/>
  </r>
  <r>
    <s v="2024-02-29"/>
    <x v="1"/>
    <x v="0"/>
    <s v="LTC"/>
    <n v="634699700455.57996"/>
    <n v="38102"/>
    <n v="15469224244.15"/>
    <n v="9901093"/>
    <n v="11264507"/>
    <n v="11619770"/>
    <n v="25.54"/>
    <n v="-2.09"/>
    <n v="3.36"/>
    <n v="-33.35"/>
    <n v="131"/>
    <x v="4"/>
    <x v="4"/>
    <x v="3"/>
    <x v="11"/>
    <x v="0"/>
    <n v="47404"/>
    <n v="92.75"/>
    <n v="52.51"/>
    <n v="38.44"/>
    <n v="38"/>
  </r>
  <r>
    <s v="2024-05-23"/>
    <x v="6"/>
    <x v="2"/>
    <s v="ADA"/>
    <n v="455446326915.09998"/>
    <n v="63673.29"/>
    <n v="27105528382.029999"/>
    <n v="14342383"/>
    <n v="16676525"/>
    <n v="17386315"/>
    <n v="13.18"/>
    <n v="1.7"/>
    <n v="12.02"/>
    <n v="-6.21"/>
    <n v="189"/>
    <x v="4"/>
    <x v="0"/>
    <x v="1"/>
    <x v="7"/>
    <x v="1"/>
    <n v="30884"/>
    <n v="77.61"/>
    <n v="37.65"/>
    <n v="41.69"/>
    <n v="25.19"/>
  </r>
  <r>
    <s v="2024-06-24"/>
    <x v="7"/>
    <x v="0"/>
    <s v="LTC"/>
    <n v="69016670376.619995"/>
    <n v="24385.31"/>
    <n v="31882366067.740002"/>
    <n v="17320395"/>
    <n v="17566219"/>
    <n v="18274062"/>
    <n v="27.77"/>
    <n v="-4.25"/>
    <n v="4.45"/>
    <n v="-0.74"/>
    <n v="69"/>
    <x v="1"/>
    <x v="3"/>
    <x v="2"/>
    <x v="12"/>
    <x v="0"/>
    <n v="63759"/>
    <n v="75.86"/>
    <n v="66.069999999999993"/>
    <n v="15.47"/>
    <n v="77.290000000000006"/>
  </r>
  <r>
    <s v="2024-05-15"/>
    <x v="6"/>
    <x v="7"/>
    <s v="AVAX"/>
    <n v="57193584768.279999"/>
    <n v="2175.96"/>
    <n v="6270360246.3599997"/>
    <n v="4525361"/>
    <n v="5840675"/>
    <n v="5845858"/>
    <n v="25.74"/>
    <n v="3.55"/>
    <n v="1.31"/>
    <n v="15.5"/>
    <n v="155"/>
    <x v="2"/>
    <x v="4"/>
    <x v="0"/>
    <x v="6"/>
    <x v="1"/>
    <n v="57955"/>
    <n v="65.37"/>
    <n v="80.56"/>
    <n v="18.899999999999999"/>
    <n v="12.54"/>
  </r>
  <r>
    <s v="2024-06-17"/>
    <x v="7"/>
    <x v="2"/>
    <s v="ADA"/>
    <n v="749339024301.78003"/>
    <n v="39898.199999999997"/>
    <n v="22755377853.150002"/>
    <n v="5226859"/>
    <n v="5822937"/>
    <n v="6602360"/>
    <n v="40.130000000000003"/>
    <n v="-2.83"/>
    <n v="3.01"/>
    <n v="6.89"/>
    <n v="156"/>
    <x v="3"/>
    <x v="1"/>
    <x v="4"/>
    <x v="1"/>
    <x v="1"/>
    <n v="54060"/>
    <n v="24.93"/>
    <n v="27.26"/>
    <n v="57.72"/>
    <n v="30.67"/>
  </r>
  <r>
    <s v="2024-04-12"/>
    <x v="8"/>
    <x v="0"/>
    <s v="LTC"/>
    <n v="551787387910.60999"/>
    <n v="7464.23"/>
    <n v="4139991201.02"/>
    <n v="1984229"/>
    <n v="4321569"/>
    <n v="4611571"/>
    <n v="42.98"/>
    <n v="3.33"/>
    <n v="8.0399999999999991"/>
    <n v="10.11"/>
    <n v="2"/>
    <x v="3"/>
    <x v="1"/>
    <x v="4"/>
    <x v="1"/>
    <x v="0"/>
    <n v="14100"/>
    <n v="80.819999999999993"/>
    <n v="65.44"/>
    <n v="89.45"/>
    <n v="95.17"/>
  </r>
  <r>
    <s v="2024-06-21"/>
    <x v="7"/>
    <x v="6"/>
    <s v="DOGE"/>
    <n v="221646018431.85999"/>
    <n v="48417.59"/>
    <n v="13915293913.77"/>
    <n v="3596020"/>
    <n v="7540906"/>
    <n v="8370040"/>
    <n v="22.53"/>
    <n v="-3.02"/>
    <n v="-5.03"/>
    <n v="20.48"/>
    <n v="51"/>
    <x v="3"/>
    <x v="1"/>
    <x v="3"/>
    <x v="6"/>
    <x v="0"/>
    <n v="39729"/>
    <n v="24.27"/>
    <n v="93.95"/>
    <n v="74.87"/>
    <n v="49.42"/>
  </r>
  <r>
    <s v="2024-08-01"/>
    <x v="5"/>
    <x v="0"/>
    <s v="LTC"/>
    <n v="571925157120.43005"/>
    <n v="54185.01"/>
    <n v="29195013998.470001"/>
    <n v="14889254"/>
    <n v="16426105"/>
    <n v="16906536"/>
    <n v="15.07"/>
    <n v="3.48"/>
    <n v="-3.09"/>
    <n v="-15.26"/>
    <n v="141"/>
    <x v="1"/>
    <x v="1"/>
    <x v="2"/>
    <x v="6"/>
    <x v="0"/>
    <n v="44406"/>
    <n v="50.89"/>
    <n v="22.18"/>
    <n v="55.3"/>
    <n v="25.32"/>
  </r>
  <r>
    <s v="2024-04-17"/>
    <x v="8"/>
    <x v="5"/>
    <s v="XRP"/>
    <n v="646489615504.91003"/>
    <n v="40821.75"/>
    <n v="31386690813.540001"/>
    <n v="9153339"/>
    <n v="9451610"/>
    <n v="10199596"/>
    <n v="21.94"/>
    <n v="-4.01"/>
    <n v="-3.75"/>
    <n v="-27.47"/>
    <n v="20"/>
    <x v="3"/>
    <x v="4"/>
    <x v="0"/>
    <x v="3"/>
    <x v="2"/>
    <n v="25135"/>
    <n v="47.57"/>
    <n v="86.24"/>
    <n v="99.45"/>
    <n v="85.46"/>
  </r>
  <r>
    <s v="2024-11-01"/>
    <x v="3"/>
    <x v="4"/>
    <s v="DOT"/>
    <n v="567474832986.89001"/>
    <n v="66944.36"/>
    <n v="19903318939.66"/>
    <n v="2677656"/>
    <n v="6162803"/>
    <n v="6326834"/>
    <n v="2.2200000000000002"/>
    <n v="2.75"/>
    <n v="8.15"/>
    <n v="-1.55"/>
    <n v="147"/>
    <x v="2"/>
    <x v="0"/>
    <x v="2"/>
    <x v="2"/>
    <x v="1"/>
    <n v="20740"/>
    <n v="79.11"/>
    <n v="30.51"/>
    <n v="49.78"/>
    <n v="86.98"/>
  </r>
  <r>
    <s v="2024-08-08"/>
    <x v="5"/>
    <x v="5"/>
    <s v="XRP"/>
    <n v="595022597046.05005"/>
    <n v="34877.89"/>
    <n v="38815698092.440002"/>
    <n v="6200048"/>
    <n v="8827138"/>
    <n v="9163192"/>
    <n v="4.28"/>
    <n v="0.34"/>
    <n v="9.35"/>
    <n v="-8.6300000000000008"/>
    <n v="107"/>
    <x v="0"/>
    <x v="3"/>
    <x v="0"/>
    <x v="8"/>
    <x v="2"/>
    <n v="3804"/>
    <n v="52.71"/>
    <n v="85.5"/>
    <n v="91.97"/>
    <n v="62.61"/>
  </r>
  <r>
    <s v="2024-10-18"/>
    <x v="10"/>
    <x v="0"/>
    <s v="LTC"/>
    <n v="676452544736.90002"/>
    <n v="49875.46"/>
    <n v="2865558454.7800002"/>
    <n v="9833025"/>
    <n v="10380743"/>
    <n v="10419711"/>
    <n v="46.09"/>
    <n v="4.97"/>
    <n v="-9.77"/>
    <n v="35.56"/>
    <n v="170"/>
    <x v="3"/>
    <x v="2"/>
    <x v="2"/>
    <x v="0"/>
    <x v="0"/>
    <n v="38834"/>
    <n v="93.13"/>
    <n v="60.77"/>
    <n v="99.74"/>
    <n v="19.29"/>
  </r>
  <r>
    <s v="2024-12-25"/>
    <x v="4"/>
    <x v="1"/>
    <s v="BNB"/>
    <n v="352794226200.90997"/>
    <n v="53947"/>
    <n v="4605455024.2200003"/>
    <n v="7496038"/>
    <n v="9211363"/>
    <n v="9734453"/>
    <n v="30.42"/>
    <n v="-3.35"/>
    <n v="-16.27"/>
    <n v="-1.78"/>
    <n v="79"/>
    <x v="0"/>
    <x v="1"/>
    <x v="0"/>
    <x v="2"/>
    <x v="1"/>
    <n v="57727"/>
    <n v="23.34"/>
    <n v="76.430000000000007"/>
    <n v="67.27"/>
    <n v="99.51"/>
  </r>
  <r>
    <s v="2024-06-16"/>
    <x v="7"/>
    <x v="2"/>
    <s v="ADA"/>
    <n v="46979124678.209999"/>
    <n v="67530.600000000006"/>
    <n v="42331467158.269997"/>
    <n v="3368234"/>
    <n v="5486851"/>
    <n v="6146075"/>
    <n v="50.71"/>
    <n v="3.66"/>
    <n v="9.93"/>
    <n v="33.909999999999997"/>
    <n v="99"/>
    <x v="1"/>
    <x v="0"/>
    <x v="1"/>
    <x v="5"/>
    <x v="1"/>
    <n v="39920"/>
    <n v="99.35"/>
    <n v="36.78"/>
    <n v="37.020000000000003"/>
    <n v="21.79"/>
  </r>
  <r>
    <s v="2024-06-13"/>
    <x v="7"/>
    <x v="3"/>
    <s v="SOL"/>
    <n v="713276464530.91003"/>
    <n v="26891.05"/>
    <n v="26276731685.25"/>
    <n v="13965451"/>
    <n v="14704990"/>
    <n v="15444118"/>
    <n v="6.6"/>
    <n v="-3.95"/>
    <n v="6"/>
    <n v="18.600000000000001"/>
    <n v="25"/>
    <x v="0"/>
    <x v="0"/>
    <x v="0"/>
    <x v="8"/>
    <x v="1"/>
    <n v="52384"/>
    <n v="54.55"/>
    <n v="50.24"/>
    <n v="61.97"/>
    <n v="44.07"/>
  </r>
  <r>
    <s v="2024-12-12"/>
    <x v="4"/>
    <x v="1"/>
    <s v="BNB"/>
    <n v="539711735427.47998"/>
    <n v="53370.29"/>
    <n v="38766657902.910004"/>
    <n v="1942078"/>
    <n v="5993172"/>
    <n v="6148483"/>
    <n v="26.38"/>
    <n v="-1.36"/>
    <n v="2.23"/>
    <n v="-27.89"/>
    <n v="142"/>
    <x v="2"/>
    <x v="1"/>
    <x v="4"/>
    <x v="11"/>
    <x v="1"/>
    <n v="58766"/>
    <n v="75.599999999999994"/>
    <n v="51.36"/>
    <n v="59.46"/>
    <n v="66.540000000000006"/>
  </r>
  <r>
    <s v="2024-03-12"/>
    <x v="9"/>
    <x v="4"/>
    <s v="DOT"/>
    <n v="316234273679.28003"/>
    <n v="61274.19"/>
    <n v="11629068603.040001"/>
    <n v="3370477"/>
    <n v="6255130"/>
    <n v="7049828"/>
    <n v="48.72"/>
    <n v="2.1800000000000002"/>
    <n v="16.14"/>
    <n v="-38.04"/>
    <n v="146"/>
    <x v="0"/>
    <x v="3"/>
    <x v="3"/>
    <x v="5"/>
    <x v="1"/>
    <n v="59377"/>
    <n v="53.86"/>
    <n v="89.15"/>
    <n v="15.8"/>
    <n v="55.21"/>
  </r>
  <r>
    <s v="2024-06-25"/>
    <x v="7"/>
    <x v="8"/>
    <s v="ETH"/>
    <n v="436835235277.5"/>
    <n v="10248.049999999999"/>
    <n v="13939547535.74"/>
    <n v="13008502"/>
    <n v="16879472"/>
    <n v="17151922"/>
    <n v="25.92"/>
    <n v="3.69"/>
    <n v="-7.64"/>
    <n v="-27.56"/>
    <n v="58"/>
    <x v="3"/>
    <x v="4"/>
    <x v="4"/>
    <x v="1"/>
    <x v="1"/>
    <n v="19546"/>
    <n v="82.23"/>
    <n v="88.86"/>
    <n v="38.01"/>
    <n v="11.82"/>
  </r>
  <r>
    <s v="2024-10-08"/>
    <x v="10"/>
    <x v="1"/>
    <s v="BNB"/>
    <n v="577652423967.70996"/>
    <n v="35712.44"/>
    <n v="30284430772.869999"/>
    <n v="9084705"/>
    <n v="10336872"/>
    <n v="10409679"/>
    <n v="2.14"/>
    <n v="-4.2"/>
    <n v="2.17"/>
    <n v="37.049999999999997"/>
    <n v="2"/>
    <x v="3"/>
    <x v="2"/>
    <x v="2"/>
    <x v="12"/>
    <x v="1"/>
    <n v="49531"/>
    <n v="95.83"/>
    <n v="64.47"/>
    <n v="50.03"/>
    <n v="66.3"/>
  </r>
  <r>
    <s v="2024-02-21"/>
    <x v="1"/>
    <x v="1"/>
    <s v="BNB"/>
    <n v="422269370433.97998"/>
    <n v="21178.67"/>
    <n v="41490158537.790001"/>
    <n v="17541743"/>
    <n v="18516468"/>
    <n v="18789868"/>
    <n v="56.25"/>
    <n v="1.99"/>
    <n v="15.76"/>
    <n v="-39.68"/>
    <n v="74"/>
    <x v="1"/>
    <x v="2"/>
    <x v="0"/>
    <x v="5"/>
    <x v="1"/>
    <n v="42958"/>
    <n v="43.76"/>
    <n v="95.93"/>
    <n v="13.56"/>
    <n v="28.22"/>
  </r>
  <r>
    <s v="2024-08-30"/>
    <x v="5"/>
    <x v="1"/>
    <s v="BNB"/>
    <n v="412742410736.31"/>
    <n v="44369.58"/>
    <n v="4522362598.1400003"/>
    <n v="3166534"/>
    <n v="4020964"/>
    <n v="4538111"/>
    <n v="20.010000000000002"/>
    <n v="1.35"/>
    <n v="18.11"/>
    <n v="-30.27"/>
    <n v="77"/>
    <x v="3"/>
    <x v="2"/>
    <x v="4"/>
    <x v="6"/>
    <x v="1"/>
    <n v="34733"/>
    <n v="44.77"/>
    <n v="29.52"/>
    <n v="87.99"/>
    <n v="47.78"/>
  </r>
  <r>
    <s v="2024-03-27"/>
    <x v="9"/>
    <x v="5"/>
    <s v="XRP"/>
    <n v="401777107850.78003"/>
    <n v="56793.24"/>
    <n v="3502925561.8099999"/>
    <n v="14222665"/>
    <n v="14326289"/>
    <n v="15206623"/>
    <n v="18.96"/>
    <n v="0.55000000000000004"/>
    <n v="-14.28"/>
    <n v="18.899999999999999"/>
    <n v="113"/>
    <x v="0"/>
    <x v="4"/>
    <x v="0"/>
    <x v="1"/>
    <x v="2"/>
    <n v="47477"/>
    <n v="87.15"/>
    <n v="36.33"/>
    <n v="47.71"/>
    <n v="18.399999999999999"/>
  </r>
  <r>
    <s v="2024-07-29"/>
    <x v="0"/>
    <x v="3"/>
    <s v="SOL"/>
    <n v="553015581951.57996"/>
    <n v="4483.09"/>
    <n v="31960475131.779999"/>
    <n v="18451504"/>
    <n v="19102432"/>
    <n v="19421434"/>
    <n v="32.83"/>
    <n v="2.87"/>
    <n v="-11.42"/>
    <n v="-35.6"/>
    <n v="103"/>
    <x v="4"/>
    <x v="3"/>
    <x v="0"/>
    <x v="8"/>
    <x v="1"/>
    <n v="15133"/>
    <n v="20.85"/>
    <n v="86.2"/>
    <n v="54.33"/>
    <n v="65.38"/>
  </r>
  <r>
    <s v="2024-07-10"/>
    <x v="0"/>
    <x v="2"/>
    <s v="ADA"/>
    <n v="649617704589.39001"/>
    <n v="2348.02"/>
    <n v="10775951249.309999"/>
    <n v="8621189"/>
    <n v="12754121"/>
    <n v="13124043"/>
    <n v="39.9"/>
    <n v="-2.72"/>
    <n v="-10.199999999999999"/>
    <n v="10.82"/>
    <n v="34"/>
    <x v="1"/>
    <x v="1"/>
    <x v="0"/>
    <x v="2"/>
    <x v="1"/>
    <n v="53303"/>
    <n v="79.77"/>
    <n v="74.459999999999994"/>
    <n v="15.94"/>
    <n v="44.9"/>
  </r>
  <r>
    <s v="2024-02-24"/>
    <x v="1"/>
    <x v="4"/>
    <s v="DOT"/>
    <n v="366419009176.10999"/>
    <n v="19118.68"/>
    <n v="8467087065.0500002"/>
    <n v="17548743"/>
    <n v="20816577"/>
    <n v="21435620"/>
    <n v="12.28"/>
    <n v="-0.46"/>
    <n v="3.56"/>
    <n v="11"/>
    <n v="123"/>
    <x v="1"/>
    <x v="1"/>
    <x v="1"/>
    <x v="7"/>
    <x v="1"/>
    <n v="1069"/>
    <n v="98.27"/>
    <n v="89.01"/>
    <n v="62.86"/>
    <n v="68.88"/>
  </r>
  <r>
    <s v="2024-04-25"/>
    <x v="8"/>
    <x v="2"/>
    <s v="ADA"/>
    <n v="378361829111.27002"/>
    <n v="17549.22"/>
    <n v="41262464213.57"/>
    <n v="10121043"/>
    <n v="10289843"/>
    <n v="10980672"/>
    <n v="1.7"/>
    <n v="0.08"/>
    <n v="-2.37"/>
    <n v="31.99"/>
    <n v="195"/>
    <x v="2"/>
    <x v="2"/>
    <x v="0"/>
    <x v="2"/>
    <x v="1"/>
    <n v="52595"/>
    <n v="55.55"/>
    <n v="96.62"/>
    <n v="57.37"/>
    <n v="48.51"/>
  </r>
  <r>
    <s v="2024-04-26"/>
    <x v="8"/>
    <x v="3"/>
    <s v="SOL"/>
    <n v="588013780962.60999"/>
    <n v="62135.96"/>
    <n v="21185232243.540001"/>
    <n v="9617552"/>
    <n v="10112347"/>
    <n v="10594157"/>
    <n v="54.38"/>
    <n v="-4.26"/>
    <n v="-3.4"/>
    <n v="-27.95"/>
    <n v="155"/>
    <x v="2"/>
    <x v="0"/>
    <x v="2"/>
    <x v="2"/>
    <x v="1"/>
    <n v="64975"/>
    <n v="39.96"/>
    <n v="56.49"/>
    <n v="49.13"/>
    <n v="68.88"/>
  </r>
  <r>
    <s v="2024-12-29"/>
    <x v="4"/>
    <x v="6"/>
    <s v="DOGE"/>
    <n v="465609403669.13"/>
    <n v="48654.38"/>
    <n v="26102251320.68"/>
    <n v="2347090"/>
    <n v="4412438"/>
    <n v="4520996"/>
    <n v="34.96"/>
    <n v="3.44"/>
    <n v="-14.96"/>
    <n v="4.1399999999999997"/>
    <n v="4"/>
    <x v="2"/>
    <x v="1"/>
    <x v="3"/>
    <x v="1"/>
    <x v="0"/>
    <n v="14818"/>
    <n v="40.06"/>
    <n v="54.24"/>
    <n v="56.02"/>
    <n v="33.49"/>
  </r>
  <r>
    <s v="2024-04-27"/>
    <x v="8"/>
    <x v="9"/>
    <s v="BTC"/>
    <n v="53118650874.779999"/>
    <n v="51438.6"/>
    <n v="3880204318.23"/>
    <n v="7251113"/>
    <n v="9406750"/>
    <n v="9423662"/>
    <n v="7.82"/>
    <n v="-1.6"/>
    <n v="-12.71"/>
    <n v="-13.82"/>
    <n v="148"/>
    <x v="0"/>
    <x v="0"/>
    <x v="1"/>
    <x v="6"/>
    <x v="0"/>
    <n v="47906"/>
    <n v="21.03"/>
    <n v="32.299999999999997"/>
    <n v="36.590000000000003"/>
    <n v="37.64"/>
  </r>
  <r>
    <s v="2024-07-21"/>
    <x v="0"/>
    <x v="0"/>
    <s v="LTC"/>
    <n v="211352035340.23001"/>
    <n v="55892.35"/>
    <n v="35144504162.220001"/>
    <n v="7918572"/>
    <n v="11219193"/>
    <n v="11295962"/>
    <n v="8.7899999999999991"/>
    <n v="-0.02"/>
    <n v="18.54"/>
    <n v="-16.46"/>
    <n v="65"/>
    <x v="2"/>
    <x v="2"/>
    <x v="3"/>
    <x v="3"/>
    <x v="0"/>
    <n v="8829"/>
    <n v="22.24"/>
    <n v="27.62"/>
    <n v="32.520000000000003"/>
    <n v="99.94"/>
  </r>
  <r>
    <s v="2024-02-14"/>
    <x v="1"/>
    <x v="5"/>
    <s v="XRP"/>
    <n v="832444259750.41003"/>
    <n v="65345.85"/>
    <n v="42677128513.050003"/>
    <n v="13167728"/>
    <n v="16649765"/>
    <n v="17254018"/>
    <n v="22.95"/>
    <n v="3.71"/>
    <n v="-19.989999999999998"/>
    <n v="14.58"/>
    <n v="94"/>
    <x v="0"/>
    <x v="0"/>
    <x v="0"/>
    <x v="10"/>
    <x v="2"/>
    <n v="22587"/>
    <n v="36.72"/>
    <n v="66.510000000000005"/>
    <n v="25.23"/>
    <n v="41.39"/>
  </r>
  <r>
    <s v="2024-09-28"/>
    <x v="11"/>
    <x v="6"/>
    <s v="DOGE"/>
    <n v="574019314457.78003"/>
    <n v="32228.19"/>
    <n v="4330802000.0299997"/>
    <n v="6108944"/>
    <n v="7863353"/>
    <n v="7937216"/>
    <n v="33.94"/>
    <n v="-2.75"/>
    <n v="18.309999999999999"/>
    <n v="-35.799999999999997"/>
    <n v="158"/>
    <x v="3"/>
    <x v="2"/>
    <x v="2"/>
    <x v="12"/>
    <x v="0"/>
    <n v="24278"/>
    <n v="57.93"/>
    <n v="96.4"/>
    <n v="84.17"/>
    <n v="77.16"/>
  </r>
  <r>
    <s v="2024-07-01"/>
    <x v="0"/>
    <x v="8"/>
    <s v="ETH"/>
    <n v="459503190337.69"/>
    <n v="33207.800000000003"/>
    <n v="43300119574.279999"/>
    <n v="16998389"/>
    <n v="21325869"/>
    <n v="21378421"/>
    <n v="12.91"/>
    <n v="-4.72"/>
    <n v="7.44"/>
    <n v="4.6399999999999997"/>
    <n v="108"/>
    <x v="0"/>
    <x v="4"/>
    <x v="4"/>
    <x v="0"/>
    <x v="1"/>
    <n v="43631"/>
    <n v="26.56"/>
    <n v="67.459999999999994"/>
    <n v="69.63"/>
    <n v="53.93"/>
  </r>
  <r>
    <s v="2024-07-14"/>
    <x v="0"/>
    <x v="4"/>
    <s v="DOT"/>
    <n v="85100545597.350006"/>
    <n v="54086.96"/>
    <n v="5288920144.2600002"/>
    <n v="17091157"/>
    <n v="18518338"/>
    <n v="18843843"/>
    <n v="5.32"/>
    <n v="4.75"/>
    <n v="14.82"/>
    <n v="35.03"/>
    <n v="145"/>
    <x v="0"/>
    <x v="2"/>
    <x v="4"/>
    <x v="13"/>
    <x v="1"/>
    <n v="9671"/>
    <n v="76.98"/>
    <n v="28.3"/>
    <n v="25.97"/>
    <n v="56.99"/>
  </r>
  <r>
    <s v="2024-10-03"/>
    <x v="10"/>
    <x v="1"/>
    <s v="BNB"/>
    <n v="199707510007.76001"/>
    <n v="24483.88"/>
    <n v="47993155277.160004"/>
    <n v="9525573"/>
    <n v="9839018"/>
    <n v="9922048"/>
    <n v="35"/>
    <n v="-2.82"/>
    <n v="-9.17"/>
    <n v="-26.65"/>
    <n v="46"/>
    <x v="2"/>
    <x v="3"/>
    <x v="4"/>
    <x v="8"/>
    <x v="1"/>
    <n v="59621"/>
    <n v="78.34"/>
    <n v="53.64"/>
    <n v="34.72"/>
    <n v="33.65"/>
  </r>
  <r>
    <s v="2024-02-11"/>
    <x v="1"/>
    <x v="0"/>
    <s v="LTC"/>
    <n v="281202682730.46997"/>
    <n v="32873.89"/>
    <n v="38518759070.120003"/>
    <n v="2828464"/>
    <n v="2850024"/>
    <n v="3506979"/>
    <n v="38.049999999999997"/>
    <n v="2.77"/>
    <n v="18.420000000000002"/>
    <n v="15.49"/>
    <n v="134"/>
    <x v="4"/>
    <x v="2"/>
    <x v="4"/>
    <x v="2"/>
    <x v="0"/>
    <n v="10101"/>
    <n v="66.31"/>
    <n v="68.28"/>
    <n v="31.47"/>
    <n v="27.19"/>
  </r>
  <r>
    <s v="2024-07-25"/>
    <x v="0"/>
    <x v="4"/>
    <s v="DOT"/>
    <n v="214188491734.09"/>
    <n v="57779.62"/>
    <n v="48289976362.889999"/>
    <n v="9150165"/>
    <n v="12226899"/>
    <n v="12508521"/>
    <n v="35.18"/>
    <n v="-0.94"/>
    <n v="-10.15"/>
    <n v="-17.73"/>
    <n v="41"/>
    <x v="2"/>
    <x v="4"/>
    <x v="2"/>
    <x v="10"/>
    <x v="1"/>
    <n v="58745"/>
    <n v="78.739999999999995"/>
    <n v="97.89"/>
    <n v="22.6"/>
    <n v="95.02"/>
  </r>
  <r>
    <s v="2024-06-06"/>
    <x v="7"/>
    <x v="5"/>
    <s v="XRP"/>
    <n v="171289729608.56"/>
    <n v="31000.95"/>
    <n v="15579079798.379999"/>
    <n v="9934284"/>
    <n v="10749952"/>
    <n v="11491211"/>
    <n v="17.88"/>
    <n v="2.5299999999999998"/>
    <n v="0.91"/>
    <n v="-13.39"/>
    <n v="6"/>
    <x v="3"/>
    <x v="4"/>
    <x v="4"/>
    <x v="7"/>
    <x v="2"/>
    <n v="23377"/>
    <n v="48.37"/>
    <n v="86.35"/>
    <n v="12.75"/>
    <n v="19.55"/>
  </r>
  <r>
    <s v="2024-08-01"/>
    <x v="5"/>
    <x v="6"/>
    <s v="DOGE"/>
    <n v="884160050312.30005"/>
    <n v="49138.63"/>
    <n v="48265059798.029999"/>
    <n v="1219571"/>
    <n v="5691388"/>
    <n v="5816838"/>
    <n v="27.95"/>
    <n v="-3.71"/>
    <n v="14.33"/>
    <n v="-16.7"/>
    <n v="32"/>
    <x v="1"/>
    <x v="1"/>
    <x v="4"/>
    <x v="8"/>
    <x v="0"/>
    <n v="56800"/>
    <n v="59.9"/>
    <n v="74.56"/>
    <n v="24.16"/>
    <n v="13.7"/>
  </r>
  <r>
    <s v="2024-05-27"/>
    <x v="6"/>
    <x v="3"/>
    <s v="SOL"/>
    <n v="410490144092.96002"/>
    <n v="11851.95"/>
    <n v="6683172342.9300003"/>
    <n v="18786520"/>
    <n v="20919520"/>
    <n v="21383375"/>
    <n v="17.920000000000002"/>
    <n v="1.1499999999999999"/>
    <n v="18.16"/>
    <n v="36"/>
    <n v="103"/>
    <x v="1"/>
    <x v="2"/>
    <x v="2"/>
    <x v="10"/>
    <x v="1"/>
    <n v="10940"/>
    <n v="88.81"/>
    <n v="96.01"/>
    <n v="24.58"/>
    <n v="37.869999999999997"/>
  </r>
  <r>
    <s v="2024-06-08"/>
    <x v="7"/>
    <x v="8"/>
    <s v="ETH"/>
    <n v="380191239914.46997"/>
    <n v="23133.46"/>
    <n v="35706711646.470001"/>
    <n v="16194205"/>
    <n v="20147966"/>
    <n v="20930995"/>
    <n v="45.45"/>
    <n v="-4.26"/>
    <n v="-2.95"/>
    <n v="7.56"/>
    <n v="4"/>
    <x v="3"/>
    <x v="2"/>
    <x v="4"/>
    <x v="12"/>
    <x v="1"/>
    <n v="12023"/>
    <n v="24.27"/>
    <n v="67.37"/>
    <n v="93.71"/>
    <n v="38.65"/>
  </r>
  <r>
    <s v="2024-05-04"/>
    <x v="6"/>
    <x v="9"/>
    <s v="BTC"/>
    <n v="190031239730.04001"/>
    <n v="2952.01"/>
    <n v="8220182151.7700005"/>
    <n v="13750439"/>
    <n v="13870685"/>
    <n v="14833242"/>
    <n v="31.75"/>
    <n v="-1.96"/>
    <n v="18.239999999999998"/>
    <n v="-18.579999999999998"/>
    <n v="62"/>
    <x v="4"/>
    <x v="2"/>
    <x v="2"/>
    <x v="8"/>
    <x v="0"/>
    <n v="2008"/>
    <n v="13.68"/>
    <n v="57.58"/>
    <n v="12.74"/>
    <n v="74.58"/>
  </r>
  <r>
    <s v="2024-11-28"/>
    <x v="3"/>
    <x v="9"/>
    <s v="BTC"/>
    <n v="484238986664.45001"/>
    <n v="43702.12"/>
    <n v="48179964799.690002"/>
    <n v="1984971"/>
    <n v="6792038"/>
    <n v="7301779"/>
    <n v="54.55"/>
    <n v="2.0299999999999998"/>
    <n v="-4.67"/>
    <n v="-27.87"/>
    <n v="38"/>
    <x v="1"/>
    <x v="2"/>
    <x v="3"/>
    <x v="8"/>
    <x v="0"/>
    <n v="52762"/>
    <n v="17.87"/>
    <n v="58.07"/>
    <n v="19.45"/>
    <n v="23.46"/>
  </r>
  <r>
    <s v="2024-05-24"/>
    <x v="6"/>
    <x v="9"/>
    <s v="BTC"/>
    <n v="394667342136.66998"/>
    <n v="69557.58"/>
    <n v="25713681745.869999"/>
    <n v="1839221"/>
    <n v="2716467"/>
    <n v="2942432"/>
    <n v="47.75"/>
    <n v="-2.44"/>
    <n v="-13.65"/>
    <n v="-25.49"/>
    <n v="21"/>
    <x v="3"/>
    <x v="3"/>
    <x v="3"/>
    <x v="4"/>
    <x v="0"/>
    <n v="1076"/>
    <n v="26.65"/>
    <n v="37.94"/>
    <n v="49.34"/>
    <n v="44.7"/>
  </r>
  <r>
    <s v="2024-06-05"/>
    <x v="7"/>
    <x v="6"/>
    <s v="DOGE"/>
    <n v="453916330103.02002"/>
    <n v="14562.76"/>
    <n v="39113751763.029999"/>
    <n v="5357504"/>
    <n v="6365989"/>
    <n v="6713175"/>
    <n v="6.9"/>
    <n v="2.92"/>
    <n v="-3.01"/>
    <n v="11.32"/>
    <n v="44"/>
    <x v="4"/>
    <x v="2"/>
    <x v="3"/>
    <x v="5"/>
    <x v="0"/>
    <n v="13971"/>
    <n v="28.92"/>
    <n v="69.239999999999995"/>
    <n v="11.76"/>
    <n v="23.53"/>
  </r>
  <r>
    <s v="2024-10-30"/>
    <x v="10"/>
    <x v="8"/>
    <s v="ETH"/>
    <n v="884978843712.83997"/>
    <n v="38742.379999999997"/>
    <n v="38669432448.629997"/>
    <n v="13606323"/>
    <n v="16960946"/>
    <n v="17499906"/>
    <n v="47.89"/>
    <n v="-2.81"/>
    <n v="16.02"/>
    <n v="-9.9499999999999993"/>
    <n v="73"/>
    <x v="1"/>
    <x v="2"/>
    <x v="2"/>
    <x v="11"/>
    <x v="1"/>
    <n v="12077"/>
    <n v="28.21"/>
    <n v="33.58"/>
    <n v="39.729999999999997"/>
    <n v="81.11"/>
  </r>
  <r>
    <s v="2024-03-18"/>
    <x v="9"/>
    <x v="5"/>
    <s v="XRP"/>
    <n v="832855130479.06006"/>
    <n v="7317.45"/>
    <n v="36312499082.940002"/>
    <n v="1750075"/>
    <n v="5317675"/>
    <n v="5914503"/>
    <n v="27.07"/>
    <n v="3.45"/>
    <n v="-1.97"/>
    <n v="-15.87"/>
    <n v="119"/>
    <x v="3"/>
    <x v="1"/>
    <x v="1"/>
    <x v="2"/>
    <x v="2"/>
    <n v="5526"/>
    <n v="62.34"/>
    <n v="42.91"/>
    <n v="20.74"/>
    <n v="31.13"/>
  </r>
  <r>
    <s v="2024-10-17"/>
    <x v="10"/>
    <x v="3"/>
    <s v="SOL"/>
    <n v="596006058887.43994"/>
    <n v="45358.720000000001"/>
    <n v="32055228446.009998"/>
    <n v="12507639"/>
    <n v="17101738"/>
    <n v="17984425"/>
    <n v="30.09"/>
    <n v="-1.95"/>
    <n v="11.46"/>
    <n v="31.84"/>
    <n v="70"/>
    <x v="0"/>
    <x v="1"/>
    <x v="0"/>
    <x v="4"/>
    <x v="1"/>
    <n v="20201"/>
    <n v="29.99"/>
    <n v="21.81"/>
    <n v="24.59"/>
    <n v="55.1"/>
  </r>
  <r>
    <s v="2024-01-10"/>
    <x v="2"/>
    <x v="8"/>
    <s v="ETH"/>
    <n v="7692843212.8900003"/>
    <n v="60310.01"/>
    <n v="11839969576.700001"/>
    <n v="4595594"/>
    <n v="8748203"/>
    <n v="9098251"/>
    <n v="24.57"/>
    <n v="1.22"/>
    <n v="-18.38"/>
    <n v="13.35"/>
    <n v="29"/>
    <x v="3"/>
    <x v="4"/>
    <x v="3"/>
    <x v="6"/>
    <x v="1"/>
    <n v="40519"/>
    <n v="29.84"/>
    <n v="26.14"/>
    <n v="79.91"/>
    <n v="70.69"/>
  </r>
  <r>
    <s v="2024-12-31"/>
    <x v="4"/>
    <x v="5"/>
    <s v="XRP"/>
    <n v="804799835706.19995"/>
    <n v="29564.18"/>
    <n v="25109996602.5"/>
    <n v="10607548"/>
    <n v="12188595"/>
    <n v="12990579"/>
    <n v="11.39"/>
    <n v="2.63"/>
    <n v="-14.41"/>
    <n v="24.56"/>
    <n v="17"/>
    <x v="4"/>
    <x v="2"/>
    <x v="4"/>
    <x v="10"/>
    <x v="2"/>
    <n v="9305"/>
    <n v="34.03"/>
    <n v="67.41"/>
    <n v="16.329999999999998"/>
    <n v="68.97"/>
  </r>
  <r>
    <s v="2024-04-24"/>
    <x v="8"/>
    <x v="9"/>
    <s v="BTC"/>
    <n v="890471585785.07996"/>
    <n v="43390.12"/>
    <n v="13227715320.360001"/>
    <n v="17483358"/>
    <n v="18136367"/>
    <n v="18466824"/>
    <n v="54.48"/>
    <n v="1.61"/>
    <n v="-2.54"/>
    <n v="15.74"/>
    <n v="181"/>
    <x v="2"/>
    <x v="4"/>
    <x v="1"/>
    <x v="13"/>
    <x v="0"/>
    <n v="47987"/>
    <n v="54.45"/>
    <n v="70.489999999999995"/>
    <n v="54.11"/>
    <n v="51.66"/>
  </r>
  <r>
    <s v="2024-12-05"/>
    <x v="4"/>
    <x v="5"/>
    <s v="XRP"/>
    <n v="725152439482.55005"/>
    <n v="5511.27"/>
    <n v="48320783639.879997"/>
    <n v="1233982"/>
    <n v="1613259"/>
    <n v="2190645"/>
    <n v="46.25"/>
    <n v="-1.18"/>
    <n v="3.81"/>
    <n v="-6.68"/>
    <n v="72"/>
    <x v="3"/>
    <x v="0"/>
    <x v="4"/>
    <x v="9"/>
    <x v="2"/>
    <n v="10985"/>
    <n v="53.64"/>
    <n v="66.09"/>
    <n v="29.51"/>
    <n v="96.69"/>
  </r>
  <r>
    <s v="2024-08-15"/>
    <x v="5"/>
    <x v="7"/>
    <s v="AVAX"/>
    <n v="269465525984.69"/>
    <n v="39389.89"/>
    <n v="3979105605.0799999"/>
    <n v="5013682"/>
    <n v="8866988"/>
    <n v="9338090"/>
    <n v="4"/>
    <n v="-0.59"/>
    <n v="-16.89"/>
    <n v="4.1900000000000004"/>
    <n v="195"/>
    <x v="0"/>
    <x v="3"/>
    <x v="0"/>
    <x v="8"/>
    <x v="1"/>
    <n v="20836"/>
    <n v="64.92"/>
    <n v="51.53"/>
    <n v="63.88"/>
    <n v="43.72"/>
  </r>
  <r>
    <s v="2024-11-19"/>
    <x v="3"/>
    <x v="1"/>
    <s v="BNB"/>
    <n v="318198955350.76001"/>
    <n v="63560.91"/>
    <n v="15552350050.719999"/>
    <n v="10510589"/>
    <n v="15160906"/>
    <n v="15402703"/>
    <n v="34.67"/>
    <n v="-2.44"/>
    <n v="10.59"/>
    <n v="-30.2"/>
    <n v="150"/>
    <x v="1"/>
    <x v="2"/>
    <x v="3"/>
    <x v="11"/>
    <x v="1"/>
    <n v="5090"/>
    <n v="89.24"/>
    <n v="59.26"/>
    <n v="43.29"/>
    <n v="67.760000000000005"/>
  </r>
  <r>
    <s v="2024-11-17"/>
    <x v="3"/>
    <x v="7"/>
    <s v="AVAX"/>
    <n v="832709153793.07996"/>
    <n v="39118.11"/>
    <n v="24757790916.77"/>
    <n v="3228959"/>
    <n v="7464437"/>
    <n v="7811199"/>
    <n v="31.46"/>
    <n v="0.27"/>
    <n v="-17.440000000000001"/>
    <n v="32.97"/>
    <n v="192"/>
    <x v="1"/>
    <x v="4"/>
    <x v="0"/>
    <x v="10"/>
    <x v="1"/>
    <n v="32161"/>
    <n v="90.41"/>
    <n v="88.2"/>
    <n v="80.010000000000005"/>
    <n v="98.14"/>
  </r>
  <r>
    <s v="2024-04-27"/>
    <x v="8"/>
    <x v="8"/>
    <s v="ETH"/>
    <n v="131517001522.05"/>
    <n v="18143.439999999999"/>
    <n v="25538215448.700001"/>
    <n v="3067283"/>
    <n v="5606862"/>
    <n v="6363904"/>
    <n v="14.59"/>
    <n v="-3.17"/>
    <n v="11.43"/>
    <n v="-5.64"/>
    <n v="37"/>
    <x v="0"/>
    <x v="0"/>
    <x v="2"/>
    <x v="10"/>
    <x v="1"/>
    <n v="48674"/>
    <n v="72.55"/>
    <n v="91.57"/>
    <n v="11.91"/>
    <n v="72.66"/>
  </r>
  <r>
    <s v="2024-05-14"/>
    <x v="6"/>
    <x v="9"/>
    <s v="BTC"/>
    <n v="5004580586.7399998"/>
    <n v="3901.26"/>
    <n v="8268569848.4799995"/>
    <n v="10310400"/>
    <n v="12324818"/>
    <n v="12566183"/>
    <n v="31.03"/>
    <n v="3.85"/>
    <n v="8.09"/>
    <n v="-16.91"/>
    <n v="191"/>
    <x v="2"/>
    <x v="2"/>
    <x v="4"/>
    <x v="10"/>
    <x v="0"/>
    <n v="11527"/>
    <n v="67.56"/>
    <n v="87.42"/>
    <n v="22.62"/>
    <n v="32.08"/>
  </r>
  <r>
    <s v="2024-02-07"/>
    <x v="1"/>
    <x v="0"/>
    <s v="LTC"/>
    <n v="318213713033.09003"/>
    <n v="34970.68"/>
    <n v="36974846284.690002"/>
    <n v="16171751"/>
    <n v="17867247"/>
    <n v="18575612"/>
    <n v="3.98"/>
    <n v="3.23"/>
    <n v="17.649999999999999"/>
    <n v="-23.91"/>
    <n v="68"/>
    <x v="4"/>
    <x v="2"/>
    <x v="0"/>
    <x v="1"/>
    <x v="0"/>
    <n v="57227"/>
    <n v="72.540000000000006"/>
    <n v="84.81"/>
    <n v="82.13"/>
    <n v="57.42"/>
  </r>
  <r>
    <s v="2024-12-13"/>
    <x v="4"/>
    <x v="5"/>
    <s v="XRP"/>
    <n v="864830629795.57996"/>
    <n v="30072.69"/>
    <n v="36616671379.459999"/>
    <n v="4105695"/>
    <n v="7183482"/>
    <n v="7821285"/>
    <n v="14.1"/>
    <n v="3.74"/>
    <n v="-6.03"/>
    <n v="11.4"/>
    <n v="31"/>
    <x v="4"/>
    <x v="4"/>
    <x v="0"/>
    <x v="5"/>
    <x v="2"/>
    <n v="38900"/>
    <n v="25.01"/>
    <n v="43.93"/>
    <n v="70.88"/>
    <n v="66.02"/>
  </r>
  <r>
    <s v="2024-06-02"/>
    <x v="7"/>
    <x v="2"/>
    <s v="ADA"/>
    <n v="151763256187.85999"/>
    <n v="68946.600000000006"/>
    <n v="20455745151.029999"/>
    <n v="2297233"/>
    <n v="7238067"/>
    <n v="8021232"/>
    <n v="16.57"/>
    <n v="2.59"/>
    <n v="-8.59"/>
    <n v="25.84"/>
    <n v="133"/>
    <x v="2"/>
    <x v="4"/>
    <x v="4"/>
    <x v="13"/>
    <x v="1"/>
    <n v="38986"/>
    <n v="96.6"/>
    <n v="21.21"/>
    <n v="50.75"/>
    <n v="23.46"/>
  </r>
  <r>
    <s v="2024-02-06"/>
    <x v="1"/>
    <x v="8"/>
    <s v="ETH"/>
    <n v="850821774736.34998"/>
    <n v="37868.53"/>
    <n v="4923477316.9499998"/>
    <n v="7762511"/>
    <n v="9175640"/>
    <n v="9241328"/>
    <n v="5.52"/>
    <n v="1.52"/>
    <n v="5.0199999999999996"/>
    <n v="5.8"/>
    <n v="140"/>
    <x v="3"/>
    <x v="3"/>
    <x v="1"/>
    <x v="11"/>
    <x v="1"/>
    <n v="16133"/>
    <n v="75.540000000000006"/>
    <n v="61.75"/>
    <n v="21.84"/>
    <n v="91.23"/>
  </r>
  <r>
    <s v="2024-02-29"/>
    <x v="1"/>
    <x v="1"/>
    <s v="BNB"/>
    <n v="481671537082.60999"/>
    <n v="18798.07"/>
    <n v="23545105146.169998"/>
    <n v="14872372"/>
    <n v="15074568"/>
    <n v="15614248"/>
    <n v="15.84"/>
    <n v="1.44"/>
    <n v="1.1599999999999999"/>
    <n v="-37.21"/>
    <n v="135"/>
    <x v="1"/>
    <x v="1"/>
    <x v="4"/>
    <x v="13"/>
    <x v="1"/>
    <n v="6454"/>
    <n v="10.48"/>
    <n v="96.34"/>
    <n v="36.65"/>
    <n v="45.37"/>
  </r>
  <r>
    <s v="2024-12-01"/>
    <x v="4"/>
    <x v="4"/>
    <s v="DOT"/>
    <n v="260946276411.28"/>
    <n v="3903.45"/>
    <n v="21165977881.419998"/>
    <n v="8683542"/>
    <n v="12509506"/>
    <n v="13408832"/>
    <n v="17.55"/>
    <n v="2.83"/>
    <n v="-7.76"/>
    <n v="6.93"/>
    <n v="127"/>
    <x v="4"/>
    <x v="0"/>
    <x v="0"/>
    <x v="7"/>
    <x v="1"/>
    <n v="58055"/>
    <n v="49.85"/>
    <n v="26.52"/>
    <n v="12.4"/>
    <n v="16.899999999999999"/>
  </r>
  <r>
    <s v="2024-01-06"/>
    <x v="2"/>
    <x v="6"/>
    <s v="DOGE"/>
    <n v="586016636515.06995"/>
    <n v="65904.929999999993"/>
    <n v="26730541184.790001"/>
    <n v="13576719"/>
    <n v="13723139"/>
    <n v="13929737"/>
    <n v="9.57"/>
    <n v="0.56999999999999995"/>
    <n v="-16.63"/>
    <n v="-19.8"/>
    <n v="39"/>
    <x v="2"/>
    <x v="2"/>
    <x v="1"/>
    <x v="0"/>
    <x v="0"/>
    <n v="1522"/>
    <n v="56.81"/>
    <n v="41.79"/>
    <n v="70.94"/>
    <n v="56.09"/>
  </r>
  <r>
    <s v="2024-03-02"/>
    <x v="9"/>
    <x v="9"/>
    <s v="BTC"/>
    <n v="740106701870.79004"/>
    <n v="10978.44"/>
    <n v="33913706932"/>
    <n v="4443006"/>
    <n v="5512657"/>
    <n v="5919247"/>
    <n v="17.95"/>
    <n v="-2.94"/>
    <n v="12.7"/>
    <n v="-35.159999999999997"/>
    <n v="152"/>
    <x v="4"/>
    <x v="4"/>
    <x v="1"/>
    <x v="11"/>
    <x v="0"/>
    <n v="59429"/>
    <n v="98.36"/>
    <n v="41.77"/>
    <n v="36.33"/>
    <n v="47.64"/>
  </r>
  <r>
    <s v="2024-08-13"/>
    <x v="5"/>
    <x v="6"/>
    <s v="DOGE"/>
    <n v="591510479156.77002"/>
    <n v="1503.53"/>
    <n v="17329478812.93"/>
    <n v="1904254"/>
    <n v="4567453"/>
    <n v="4846319"/>
    <n v="9.17"/>
    <n v="3.14"/>
    <n v="4.3600000000000003"/>
    <n v="-3.67"/>
    <n v="67"/>
    <x v="0"/>
    <x v="4"/>
    <x v="4"/>
    <x v="0"/>
    <x v="0"/>
    <n v="41395"/>
    <n v="77.03"/>
    <n v="48.08"/>
    <n v="33.61"/>
    <n v="45.54"/>
  </r>
  <r>
    <s v="2024-05-04"/>
    <x v="6"/>
    <x v="6"/>
    <s v="DOGE"/>
    <n v="93736248346.850006"/>
    <n v="26391.439999999999"/>
    <n v="21844788853.099998"/>
    <n v="9393398"/>
    <n v="13982700"/>
    <n v="14880903"/>
    <n v="42.97"/>
    <n v="2.92"/>
    <n v="-13.07"/>
    <n v="-36.28"/>
    <n v="30"/>
    <x v="4"/>
    <x v="0"/>
    <x v="0"/>
    <x v="9"/>
    <x v="0"/>
    <n v="61940"/>
    <n v="53.27"/>
    <n v="90.41"/>
    <n v="66.47"/>
    <n v="93.49"/>
  </r>
  <r>
    <s v="2024-01-21"/>
    <x v="2"/>
    <x v="7"/>
    <s v="AVAX"/>
    <n v="329214357383.09003"/>
    <n v="21213.24"/>
    <n v="21661189040.169998"/>
    <n v="5281475"/>
    <n v="8687346"/>
    <n v="8791139"/>
    <n v="0.6"/>
    <n v="0.77"/>
    <n v="13.9"/>
    <n v="39.51"/>
    <n v="12"/>
    <x v="2"/>
    <x v="1"/>
    <x v="0"/>
    <x v="6"/>
    <x v="1"/>
    <n v="39767"/>
    <n v="31.72"/>
    <n v="89.64"/>
    <n v="60.08"/>
    <n v="53.7"/>
  </r>
  <r>
    <s v="2024-05-30"/>
    <x v="6"/>
    <x v="5"/>
    <s v="XRP"/>
    <n v="543368460662.15997"/>
    <n v="7597.57"/>
    <n v="9310783604.9799995"/>
    <n v="9987944"/>
    <n v="11892483"/>
    <n v="12762872"/>
    <n v="5.91"/>
    <n v="-0.62"/>
    <n v="-9.66"/>
    <n v="7.41"/>
    <n v="8"/>
    <x v="2"/>
    <x v="2"/>
    <x v="0"/>
    <x v="4"/>
    <x v="2"/>
    <n v="62597"/>
    <n v="29.39"/>
    <n v="58.89"/>
    <n v="87.94"/>
    <n v="54.17"/>
  </r>
  <r>
    <s v="2024-03-10"/>
    <x v="9"/>
    <x v="3"/>
    <s v="SOL"/>
    <n v="877900961514.40002"/>
    <n v="25074.2"/>
    <n v="45947346952.010002"/>
    <n v="18237804"/>
    <n v="19316818"/>
    <n v="20034301"/>
    <n v="11.84"/>
    <n v="4.1500000000000004"/>
    <n v="4.0999999999999996"/>
    <n v="-33.72"/>
    <n v="185"/>
    <x v="0"/>
    <x v="4"/>
    <x v="3"/>
    <x v="12"/>
    <x v="1"/>
    <n v="16396"/>
    <n v="90.53"/>
    <n v="42.26"/>
    <n v="29.31"/>
    <n v="68.88"/>
  </r>
  <r>
    <s v="2024-07-27"/>
    <x v="0"/>
    <x v="0"/>
    <s v="LTC"/>
    <n v="197544764393.44"/>
    <n v="36870.58"/>
    <n v="45463904290.800003"/>
    <n v="3165858"/>
    <n v="7050628"/>
    <n v="7955958"/>
    <n v="17.36"/>
    <n v="-4.55"/>
    <n v="-15.05"/>
    <n v="-32.69"/>
    <n v="188"/>
    <x v="4"/>
    <x v="3"/>
    <x v="4"/>
    <x v="2"/>
    <x v="0"/>
    <n v="30697"/>
    <n v="69.319999999999993"/>
    <n v="73.73"/>
    <n v="92.43"/>
    <n v="17.39"/>
  </r>
  <r>
    <s v="2024-03-01"/>
    <x v="9"/>
    <x v="3"/>
    <s v="SOL"/>
    <n v="795826854684.19995"/>
    <n v="60820.65"/>
    <n v="19480836597.93"/>
    <n v="16034029"/>
    <n v="17240009"/>
    <n v="17353294"/>
    <n v="40.159999999999997"/>
    <n v="-0.36"/>
    <n v="10.68"/>
    <n v="22.64"/>
    <n v="152"/>
    <x v="3"/>
    <x v="4"/>
    <x v="3"/>
    <x v="1"/>
    <x v="1"/>
    <n v="46425"/>
    <n v="48.53"/>
    <n v="79.98"/>
    <n v="45.1"/>
    <n v="53.57"/>
  </r>
  <r>
    <s v="2024-11-24"/>
    <x v="3"/>
    <x v="9"/>
    <s v="BTC"/>
    <n v="863904493720.81995"/>
    <n v="494.75"/>
    <n v="18269485098.689999"/>
    <n v="17339389"/>
    <n v="21447822"/>
    <n v="21829772"/>
    <n v="14.04"/>
    <n v="-1.9"/>
    <n v="-1.1599999999999999"/>
    <n v="-38.53"/>
    <n v="98"/>
    <x v="3"/>
    <x v="2"/>
    <x v="3"/>
    <x v="6"/>
    <x v="0"/>
    <n v="10043"/>
    <n v="29.51"/>
    <n v="25.27"/>
    <n v="56.87"/>
    <n v="30.39"/>
  </r>
  <r>
    <s v="2024-03-15"/>
    <x v="9"/>
    <x v="5"/>
    <s v="XRP"/>
    <n v="567960416247.60999"/>
    <n v="64892.09"/>
    <n v="27542057416.48"/>
    <n v="4485002"/>
    <n v="6750737"/>
    <n v="7309708"/>
    <n v="45.73"/>
    <n v="7.0000000000000007E-2"/>
    <n v="0.55000000000000004"/>
    <n v="-29.72"/>
    <n v="35"/>
    <x v="2"/>
    <x v="2"/>
    <x v="4"/>
    <x v="11"/>
    <x v="2"/>
    <n v="27578"/>
    <n v="97.3"/>
    <n v="88.89"/>
    <n v="61.94"/>
    <n v="52.43"/>
  </r>
  <r>
    <s v="2024-06-26"/>
    <x v="7"/>
    <x v="5"/>
    <s v="XRP"/>
    <n v="285927495209.69"/>
    <n v="29427.96"/>
    <n v="23803616149.439999"/>
    <n v="9666214"/>
    <n v="14521329"/>
    <n v="14611479"/>
    <n v="51.56"/>
    <n v="-4.8899999999999997"/>
    <n v="-13.94"/>
    <n v="-26.13"/>
    <n v="152"/>
    <x v="4"/>
    <x v="0"/>
    <x v="3"/>
    <x v="1"/>
    <x v="2"/>
    <n v="39638"/>
    <n v="19.57"/>
    <n v="95.05"/>
    <n v="72.08"/>
    <n v="50.78"/>
  </r>
  <r>
    <s v="2024-04-16"/>
    <x v="8"/>
    <x v="1"/>
    <s v="BNB"/>
    <n v="271671846626.89001"/>
    <n v="53659.3"/>
    <n v="27404153957.470001"/>
    <n v="18588011"/>
    <n v="21330678"/>
    <n v="21761691"/>
    <n v="49.06"/>
    <n v="2.78"/>
    <n v="-7.67"/>
    <n v="-35.71"/>
    <n v="10"/>
    <x v="1"/>
    <x v="2"/>
    <x v="4"/>
    <x v="13"/>
    <x v="1"/>
    <n v="64839"/>
    <n v="77.930000000000007"/>
    <n v="59.52"/>
    <n v="77.83"/>
    <n v="13.7"/>
  </r>
  <r>
    <s v="2024-06-16"/>
    <x v="7"/>
    <x v="7"/>
    <s v="AVAX"/>
    <n v="326723769981.57001"/>
    <n v="42248.11"/>
    <n v="20529298243.880001"/>
    <n v="10619569"/>
    <n v="10812891"/>
    <n v="10958942"/>
    <n v="6.07"/>
    <n v="4.93"/>
    <n v="18.07"/>
    <n v="-30.8"/>
    <n v="53"/>
    <x v="3"/>
    <x v="0"/>
    <x v="2"/>
    <x v="11"/>
    <x v="1"/>
    <n v="37540"/>
    <n v="13.53"/>
    <n v="59.67"/>
    <n v="95.19"/>
    <n v="64.010000000000005"/>
  </r>
  <r>
    <s v="2024-12-03"/>
    <x v="4"/>
    <x v="0"/>
    <s v="LTC"/>
    <n v="299921790165.33002"/>
    <n v="69690.94"/>
    <n v="12708342820.700001"/>
    <n v="13023054"/>
    <n v="13687821"/>
    <n v="13805649"/>
    <n v="12.98"/>
    <n v="-3.33"/>
    <n v="5.61"/>
    <n v="-18.34"/>
    <n v="41"/>
    <x v="3"/>
    <x v="0"/>
    <x v="1"/>
    <x v="1"/>
    <x v="0"/>
    <n v="15817"/>
    <n v="82.55"/>
    <n v="25.95"/>
    <n v="63.74"/>
    <n v="99.79"/>
  </r>
  <r>
    <s v="2024-03-16"/>
    <x v="9"/>
    <x v="9"/>
    <s v="BTC"/>
    <n v="269541652148.10999"/>
    <n v="38307.160000000003"/>
    <n v="23464009776.779999"/>
    <n v="6683259"/>
    <n v="9042696"/>
    <n v="9743152"/>
    <n v="13.36"/>
    <n v="-3.61"/>
    <n v="9.7899999999999991"/>
    <n v="-24.87"/>
    <n v="53"/>
    <x v="4"/>
    <x v="1"/>
    <x v="1"/>
    <x v="11"/>
    <x v="0"/>
    <n v="26474"/>
    <n v="93.55"/>
    <n v="33.700000000000003"/>
    <n v="36.96"/>
    <n v="80.13"/>
  </r>
  <r>
    <s v="2024-06-25"/>
    <x v="7"/>
    <x v="3"/>
    <s v="SOL"/>
    <n v="660090546058.29004"/>
    <n v="45913.81"/>
    <n v="33512941118.330002"/>
    <n v="10999484"/>
    <n v="12967782"/>
    <n v="13121253"/>
    <n v="47.9"/>
    <n v="1.37"/>
    <n v="19.420000000000002"/>
    <n v="2.92"/>
    <n v="106"/>
    <x v="4"/>
    <x v="0"/>
    <x v="1"/>
    <x v="5"/>
    <x v="1"/>
    <n v="8208"/>
    <n v="86.45"/>
    <n v="59.86"/>
    <n v="76.28"/>
    <n v="39.6"/>
  </r>
  <r>
    <s v="2024-06-09"/>
    <x v="7"/>
    <x v="0"/>
    <s v="LTC"/>
    <n v="675831529795.65002"/>
    <n v="40744.269999999997"/>
    <n v="47605751179.099998"/>
    <n v="13837254"/>
    <n v="17775089"/>
    <n v="17945765"/>
    <n v="0.79"/>
    <n v="-1.04"/>
    <n v="-7.33"/>
    <n v="18.059999999999999"/>
    <n v="43"/>
    <x v="1"/>
    <x v="1"/>
    <x v="4"/>
    <x v="5"/>
    <x v="0"/>
    <n v="41259"/>
    <n v="20.190000000000001"/>
    <n v="46.84"/>
    <n v="47.77"/>
    <n v="46.14"/>
  </r>
  <r>
    <s v="2024-08-06"/>
    <x v="5"/>
    <x v="6"/>
    <s v="DOGE"/>
    <n v="514769069302.38"/>
    <n v="1933.28"/>
    <n v="44687281716.75"/>
    <n v="11162890"/>
    <n v="12405441"/>
    <n v="13103887"/>
    <n v="42.97"/>
    <n v="0.09"/>
    <n v="15.9"/>
    <n v="-25.94"/>
    <n v="112"/>
    <x v="2"/>
    <x v="1"/>
    <x v="3"/>
    <x v="5"/>
    <x v="0"/>
    <n v="18264"/>
    <n v="91.74"/>
    <n v="56.73"/>
    <n v="43.88"/>
    <n v="70.2"/>
  </r>
  <r>
    <s v="2024-05-27"/>
    <x v="6"/>
    <x v="6"/>
    <s v="DOGE"/>
    <n v="640682892904.29004"/>
    <n v="35116.199999999997"/>
    <n v="16558944041.24"/>
    <n v="9429365"/>
    <n v="10310443"/>
    <n v="10519329"/>
    <n v="23.85"/>
    <n v="4.6100000000000003"/>
    <n v="5.8"/>
    <n v="-13.58"/>
    <n v="118"/>
    <x v="3"/>
    <x v="0"/>
    <x v="1"/>
    <x v="13"/>
    <x v="0"/>
    <n v="19449"/>
    <n v="17.649999999999999"/>
    <n v="22.55"/>
    <n v="38.79"/>
    <n v="59.91"/>
  </r>
  <r>
    <s v="2024-06-23"/>
    <x v="7"/>
    <x v="8"/>
    <s v="ETH"/>
    <n v="236869710379.79001"/>
    <n v="34983.86"/>
    <n v="36428446486.139999"/>
    <n v="13933378"/>
    <n v="18487266"/>
    <n v="19443717"/>
    <n v="14.35"/>
    <n v="1.95"/>
    <n v="-9.33"/>
    <n v="-3.51"/>
    <n v="58"/>
    <x v="2"/>
    <x v="3"/>
    <x v="4"/>
    <x v="5"/>
    <x v="1"/>
    <n v="8034"/>
    <n v="46.9"/>
    <n v="67.62"/>
    <n v="45.7"/>
    <n v="70.09"/>
  </r>
  <r>
    <s v="2024-09-04"/>
    <x v="11"/>
    <x v="2"/>
    <s v="ADA"/>
    <n v="539140290192.75"/>
    <n v="62698.17"/>
    <n v="5779442969.8199997"/>
    <n v="8076066"/>
    <n v="9925772"/>
    <n v="10298165"/>
    <n v="36.979999999999997"/>
    <n v="-4.45"/>
    <n v="0.76"/>
    <n v="-34.46"/>
    <n v="3"/>
    <x v="4"/>
    <x v="2"/>
    <x v="4"/>
    <x v="8"/>
    <x v="1"/>
    <n v="38050"/>
    <n v="27.32"/>
    <n v="48.38"/>
    <n v="62.8"/>
    <n v="49.89"/>
  </r>
  <r>
    <s v="2024-05-13"/>
    <x v="6"/>
    <x v="0"/>
    <s v="LTC"/>
    <n v="282946311769.34998"/>
    <n v="33517.230000000003"/>
    <n v="43796003590.870003"/>
    <n v="6401887"/>
    <n v="7473723"/>
    <n v="8460601"/>
    <n v="51.91"/>
    <n v="-3.89"/>
    <n v="4.5199999999999996"/>
    <n v="-0.12"/>
    <n v="174"/>
    <x v="0"/>
    <x v="1"/>
    <x v="2"/>
    <x v="13"/>
    <x v="0"/>
    <n v="5463"/>
    <n v="49.81"/>
    <n v="85.28"/>
    <n v="58.11"/>
    <n v="86.69"/>
  </r>
  <r>
    <s v="2024-01-10"/>
    <x v="2"/>
    <x v="9"/>
    <s v="BTC"/>
    <n v="247014570920.88"/>
    <n v="17774.2"/>
    <n v="46894053324.529999"/>
    <n v="6431368"/>
    <n v="8939766"/>
    <n v="9199827"/>
    <n v="25.87"/>
    <n v="0.06"/>
    <n v="10.96"/>
    <n v="30.08"/>
    <n v="186"/>
    <x v="2"/>
    <x v="3"/>
    <x v="3"/>
    <x v="13"/>
    <x v="0"/>
    <n v="12567"/>
    <n v="84.55"/>
    <n v="27.63"/>
    <n v="74.260000000000005"/>
    <n v="51.35"/>
  </r>
  <r>
    <s v="2024-01-07"/>
    <x v="2"/>
    <x v="7"/>
    <s v="AVAX"/>
    <n v="198920919056.20001"/>
    <n v="65008.54"/>
    <n v="46208766252"/>
    <n v="15454663"/>
    <n v="19297492"/>
    <n v="20169045"/>
    <n v="46.02"/>
    <n v="-1.89"/>
    <n v="-2.2000000000000002"/>
    <n v="-36.5"/>
    <n v="185"/>
    <x v="1"/>
    <x v="1"/>
    <x v="4"/>
    <x v="7"/>
    <x v="1"/>
    <n v="14205"/>
    <n v="26.47"/>
    <n v="47.07"/>
    <n v="67.900000000000006"/>
    <n v="44.94"/>
  </r>
  <r>
    <s v="2024-01-08"/>
    <x v="2"/>
    <x v="6"/>
    <s v="DOGE"/>
    <n v="353273392115.53998"/>
    <n v="68317.53"/>
    <n v="28032578432.799999"/>
    <n v="7302280"/>
    <n v="9512237"/>
    <n v="10238442"/>
    <n v="59.28"/>
    <n v="-1.39"/>
    <n v="11.39"/>
    <n v="-4.37"/>
    <n v="34"/>
    <x v="3"/>
    <x v="3"/>
    <x v="0"/>
    <x v="1"/>
    <x v="0"/>
    <n v="14397"/>
    <n v="61.54"/>
    <n v="79.510000000000005"/>
    <n v="65.150000000000006"/>
    <n v="62.04"/>
  </r>
  <r>
    <s v="2024-01-22"/>
    <x v="2"/>
    <x v="9"/>
    <s v="BTC"/>
    <n v="20641848420.130001"/>
    <n v="27132.69"/>
    <n v="7615877063.3100004"/>
    <n v="3335189"/>
    <n v="4715451"/>
    <n v="5446888"/>
    <n v="23.28"/>
    <n v="0.18"/>
    <n v="-1.95"/>
    <n v="18.07"/>
    <n v="131"/>
    <x v="0"/>
    <x v="1"/>
    <x v="2"/>
    <x v="5"/>
    <x v="0"/>
    <n v="6574"/>
    <n v="15.35"/>
    <n v="45.42"/>
    <n v="30.71"/>
    <n v="57.29"/>
  </r>
  <r>
    <s v="2024-01-27"/>
    <x v="2"/>
    <x v="4"/>
    <s v="DOT"/>
    <n v="559660822546.16003"/>
    <n v="62232.33"/>
    <n v="43778707055.300003"/>
    <n v="14964030"/>
    <n v="18486470"/>
    <n v="18754405"/>
    <n v="8.8800000000000008"/>
    <n v="-1.61"/>
    <n v="3.5"/>
    <n v="-9.01"/>
    <n v="121"/>
    <x v="1"/>
    <x v="1"/>
    <x v="0"/>
    <x v="7"/>
    <x v="1"/>
    <n v="55258"/>
    <n v="66.63"/>
    <n v="82.38"/>
    <n v="40.590000000000003"/>
    <n v="45.82"/>
  </r>
  <r>
    <s v="2024-06-17"/>
    <x v="7"/>
    <x v="7"/>
    <s v="AVAX"/>
    <n v="755850926589.08997"/>
    <n v="59696.71"/>
    <n v="28679808417.610001"/>
    <n v="5722309"/>
    <n v="7485522"/>
    <n v="7519661"/>
    <n v="51.66"/>
    <n v="4.09"/>
    <n v="-7.29"/>
    <n v="22.67"/>
    <n v="66"/>
    <x v="3"/>
    <x v="4"/>
    <x v="2"/>
    <x v="0"/>
    <x v="1"/>
    <n v="41183"/>
    <n v="87.47"/>
    <n v="48.85"/>
    <n v="46.49"/>
    <n v="50.8"/>
  </r>
  <r>
    <s v="2024-08-27"/>
    <x v="5"/>
    <x v="6"/>
    <s v="DOGE"/>
    <n v="690417178990.43005"/>
    <n v="45397.81"/>
    <n v="18568442885"/>
    <n v="15930524"/>
    <n v="16085458"/>
    <n v="16248013"/>
    <n v="48.6"/>
    <n v="-3.43"/>
    <n v="-12.97"/>
    <n v="-16.86"/>
    <n v="191"/>
    <x v="0"/>
    <x v="3"/>
    <x v="4"/>
    <x v="7"/>
    <x v="0"/>
    <n v="44102"/>
    <n v="55.62"/>
    <n v="20.23"/>
    <n v="20.73"/>
    <n v="58.63"/>
  </r>
  <r>
    <s v="2024-05-25"/>
    <x v="6"/>
    <x v="7"/>
    <s v="AVAX"/>
    <n v="145711411904.92999"/>
    <n v="14316.65"/>
    <n v="23485219021.799999"/>
    <n v="7217669"/>
    <n v="8574429"/>
    <n v="8656243"/>
    <n v="2.5099999999999998"/>
    <n v="-4.8600000000000003"/>
    <n v="-4.33"/>
    <n v="-26.29"/>
    <n v="149"/>
    <x v="3"/>
    <x v="3"/>
    <x v="4"/>
    <x v="6"/>
    <x v="1"/>
    <n v="520"/>
    <n v="32.69"/>
    <n v="56.06"/>
    <n v="37.44"/>
    <n v="12.24"/>
  </r>
  <r>
    <s v="2024-01-23"/>
    <x v="2"/>
    <x v="3"/>
    <s v="SOL"/>
    <n v="488660932350.07001"/>
    <n v="2738.42"/>
    <n v="34920490326.889999"/>
    <n v="15742272"/>
    <n v="20431002"/>
    <n v="21075558"/>
    <n v="45.73"/>
    <n v="4.25"/>
    <n v="-1.43"/>
    <n v="29.07"/>
    <n v="68"/>
    <x v="0"/>
    <x v="0"/>
    <x v="4"/>
    <x v="10"/>
    <x v="1"/>
    <n v="2724"/>
    <n v="94.69"/>
    <n v="53.83"/>
    <n v="35.369999999999997"/>
    <n v="44.21"/>
  </r>
  <r>
    <s v="2024-11-16"/>
    <x v="3"/>
    <x v="4"/>
    <s v="DOT"/>
    <n v="885446495987.39001"/>
    <n v="48052.25"/>
    <n v="4286179763.1100001"/>
    <n v="9440569"/>
    <n v="14397727"/>
    <n v="14693014"/>
    <n v="6.27"/>
    <n v="-0.55000000000000004"/>
    <n v="-2.95"/>
    <n v="-31.52"/>
    <n v="144"/>
    <x v="3"/>
    <x v="1"/>
    <x v="1"/>
    <x v="13"/>
    <x v="1"/>
    <n v="56603"/>
    <n v="67.58"/>
    <n v="33.9"/>
    <n v="21.85"/>
    <n v="64.97"/>
  </r>
  <r>
    <s v="2024-11-26"/>
    <x v="3"/>
    <x v="3"/>
    <s v="SOL"/>
    <n v="30654340919.130001"/>
    <n v="37682.25"/>
    <n v="31219189128.150002"/>
    <n v="16051661"/>
    <n v="17544212"/>
    <n v="18227883"/>
    <n v="10.5"/>
    <n v="-1.7"/>
    <n v="-13.68"/>
    <n v="31.53"/>
    <n v="5"/>
    <x v="2"/>
    <x v="2"/>
    <x v="3"/>
    <x v="6"/>
    <x v="1"/>
    <n v="58444"/>
    <n v="87.37"/>
    <n v="25.01"/>
    <n v="68.84"/>
    <n v="56.37"/>
  </r>
  <r>
    <s v="2024-12-02"/>
    <x v="4"/>
    <x v="3"/>
    <s v="SOL"/>
    <n v="100255899755.61"/>
    <n v="31134.49"/>
    <n v="14799951539.139999"/>
    <n v="9509168"/>
    <n v="9780882"/>
    <n v="10012082"/>
    <n v="19.579999999999998"/>
    <n v="1.07"/>
    <n v="16.27"/>
    <n v="37.479999999999997"/>
    <n v="31"/>
    <x v="2"/>
    <x v="0"/>
    <x v="1"/>
    <x v="7"/>
    <x v="1"/>
    <n v="10779"/>
    <n v="34.950000000000003"/>
    <n v="86.64"/>
    <n v="44.37"/>
    <n v="92.98"/>
  </r>
  <r>
    <s v="2024-11-29"/>
    <x v="3"/>
    <x v="5"/>
    <s v="XRP"/>
    <n v="772456563829.07996"/>
    <n v="6041.95"/>
    <n v="39018433796.599998"/>
    <n v="1782406"/>
    <n v="6586952"/>
    <n v="7179426"/>
    <n v="16.61"/>
    <n v="0.97"/>
    <n v="-18.89"/>
    <n v="10.38"/>
    <n v="9"/>
    <x v="3"/>
    <x v="0"/>
    <x v="1"/>
    <x v="5"/>
    <x v="2"/>
    <n v="19113"/>
    <n v="80.63"/>
    <n v="23.79"/>
    <n v="48.69"/>
    <n v="98.89"/>
  </r>
  <r>
    <s v="2024-03-05"/>
    <x v="9"/>
    <x v="4"/>
    <s v="DOT"/>
    <n v="293095039234.45001"/>
    <n v="57519.59"/>
    <n v="5728953030.04"/>
    <n v="17811595"/>
    <n v="21538560"/>
    <n v="21842251"/>
    <n v="45.99"/>
    <n v="-0.14000000000000001"/>
    <n v="-19.32"/>
    <n v="-25.44"/>
    <n v="190"/>
    <x v="4"/>
    <x v="1"/>
    <x v="1"/>
    <x v="12"/>
    <x v="1"/>
    <n v="2655"/>
    <n v="13.36"/>
    <n v="21.1"/>
    <n v="88.78"/>
    <n v="78.88"/>
  </r>
  <r>
    <s v="2024-02-23"/>
    <x v="1"/>
    <x v="6"/>
    <s v="DOGE"/>
    <n v="580821208332.47998"/>
    <n v="29026.73"/>
    <n v="27480668634.73"/>
    <n v="4951657"/>
    <n v="8722926"/>
    <n v="8781721"/>
    <n v="32.93"/>
    <n v="-0.01"/>
    <n v="5.69"/>
    <n v="2.0499999999999998"/>
    <n v="43"/>
    <x v="1"/>
    <x v="3"/>
    <x v="1"/>
    <x v="10"/>
    <x v="0"/>
    <n v="38145"/>
    <n v="66.19"/>
    <n v="72.64"/>
    <n v="41.97"/>
    <n v="75.13"/>
  </r>
  <r>
    <s v="2024-03-10"/>
    <x v="9"/>
    <x v="5"/>
    <s v="XRP"/>
    <n v="422701983426.59998"/>
    <n v="18131.63"/>
    <n v="27333804939.25"/>
    <n v="16688494"/>
    <n v="21549237"/>
    <n v="21741825"/>
    <n v="49.8"/>
    <n v="-0.22"/>
    <n v="-7.81"/>
    <n v="-23.49"/>
    <n v="149"/>
    <x v="1"/>
    <x v="0"/>
    <x v="2"/>
    <x v="11"/>
    <x v="2"/>
    <n v="31812"/>
    <n v="21.72"/>
    <n v="80.36"/>
    <n v="70.95"/>
    <n v="68.78"/>
  </r>
  <r>
    <s v="2024-04-06"/>
    <x v="8"/>
    <x v="9"/>
    <s v="BTC"/>
    <n v="783602623132.18005"/>
    <n v="54226.21"/>
    <n v="34558101257.68"/>
    <n v="11752051"/>
    <n v="14272990"/>
    <n v="14851259"/>
    <n v="0.46"/>
    <n v="0.97"/>
    <n v="9.01"/>
    <n v="-34.979999999999997"/>
    <n v="124"/>
    <x v="4"/>
    <x v="2"/>
    <x v="4"/>
    <x v="5"/>
    <x v="0"/>
    <n v="54643"/>
    <n v="25.17"/>
    <n v="53.31"/>
    <n v="96.9"/>
    <n v="88.09"/>
  </r>
  <r>
    <s v="2024-03-30"/>
    <x v="9"/>
    <x v="5"/>
    <s v="XRP"/>
    <n v="254068736689.45999"/>
    <n v="46804.33"/>
    <n v="32853789361.400002"/>
    <n v="9969720"/>
    <n v="11986950"/>
    <n v="12816724"/>
    <n v="2.5499999999999998"/>
    <n v="3.66"/>
    <n v="8.01"/>
    <n v="-13.08"/>
    <n v="107"/>
    <x v="0"/>
    <x v="1"/>
    <x v="2"/>
    <x v="1"/>
    <x v="2"/>
    <n v="37977"/>
    <n v="12.23"/>
    <n v="95.63"/>
    <n v="31.25"/>
    <n v="73.36"/>
  </r>
  <r>
    <s v="2024-02-08"/>
    <x v="1"/>
    <x v="6"/>
    <s v="DOGE"/>
    <n v="664086216637.60999"/>
    <n v="5722.04"/>
    <n v="47746772665.610001"/>
    <n v="15741353"/>
    <n v="17770766"/>
    <n v="17927157"/>
    <n v="59.94"/>
    <n v="-2.16"/>
    <n v="-7.91"/>
    <n v="27.17"/>
    <n v="41"/>
    <x v="4"/>
    <x v="4"/>
    <x v="3"/>
    <x v="2"/>
    <x v="0"/>
    <n v="38374"/>
    <n v="41.79"/>
    <n v="49.58"/>
    <n v="79.069999999999993"/>
    <n v="40.299999999999997"/>
  </r>
  <r>
    <s v="2024-08-01"/>
    <x v="5"/>
    <x v="6"/>
    <s v="DOGE"/>
    <n v="823517995698.06006"/>
    <n v="5924.04"/>
    <n v="40527286640.32"/>
    <n v="6705860"/>
    <n v="8177259"/>
    <n v="8935248"/>
    <n v="10.11"/>
    <n v="2.13"/>
    <n v="11.11"/>
    <n v="-19.62"/>
    <n v="188"/>
    <x v="3"/>
    <x v="2"/>
    <x v="4"/>
    <x v="0"/>
    <x v="0"/>
    <n v="4806"/>
    <n v="71.010000000000005"/>
    <n v="70.97"/>
    <n v="94.09"/>
    <n v="81.48"/>
  </r>
  <r>
    <s v="2024-07-04"/>
    <x v="0"/>
    <x v="3"/>
    <s v="SOL"/>
    <n v="217765615599.60001"/>
    <n v="5406.98"/>
    <n v="6952047564.1099997"/>
    <n v="14564560"/>
    <n v="14990291"/>
    <n v="15613709"/>
    <n v="23.64"/>
    <n v="3.61"/>
    <n v="17.7"/>
    <n v="-37.18"/>
    <n v="164"/>
    <x v="4"/>
    <x v="1"/>
    <x v="3"/>
    <x v="0"/>
    <x v="1"/>
    <n v="62807"/>
    <n v="81.790000000000006"/>
    <n v="71.78"/>
    <n v="18.04"/>
    <n v="77.900000000000006"/>
  </r>
  <r>
    <s v="2024-11-16"/>
    <x v="3"/>
    <x v="0"/>
    <s v="LTC"/>
    <n v="888741891963.56995"/>
    <n v="26441.54"/>
    <n v="25415854450.810001"/>
    <n v="13677371"/>
    <n v="17066101"/>
    <n v="17493538"/>
    <n v="55.1"/>
    <n v="1.73"/>
    <n v="14.95"/>
    <n v="0.32"/>
    <n v="105"/>
    <x v="2"/>
    <x v="4"/>
    <x v="3"/>
    <x v="9"/>
    <x v="0"/>
    <n v="21620"/>
    <n v="93.38"/>
    <n v="49.95"/>
    <n v="13.01"/>
    <n v="95.49"/>
  </r>
  <r>
    <s v="2024-12-15"/>
    <x v="4"/>
    <x v="8"/>
    <s v="ETH"/>
    <n v="314025549105.10999"/>
    <n v="1114.3"/>
    <n v="18240261477.18"/>
    <n v="11066622"/>
    <n v="13883226"/>
    <n v="14781045"/>
    <n v="13.82"/>
    <n v="3.9"/>
    <n v="12.85"/>
    <n v="-24.6"/>
    <n v="159"/>
    <x v="4"/>
    <x v="3"/>
    <x v="3"/>
    <x v="3"/>
    <x v="1"/>
    <n v="54588"/>
    <n v="33.4"/>
    <n v="49.39"/>
    <n v="51.49"/>
    <n v="93.71"/>
  </r>
  <r>
    <s v="2024-05-15"/>
    <x v="6"/>
    <x v="0"/>
    <s v="LTC"/>
    <n v="501025559689.15997"/>
    <n v="2948.02"/>
    <n v="7208339570.4200001"/>
    <n v="9273108"/>
    <n v="12994456"/>
    <n v="13786227"/>
    <n v="12.83"/>
    <n v="-3.93"/>
    <n v="-0.42"/>
    <n v="3.7"/>
    <n v="59"/>
    <x v="1"/>
    <x v="2"/>
    <x v="4"/>
    <x v="8"/>
    <x v="0"/>
    <n v="59285"/>
    <n v="64.13"/>
    <n v="30.69"/>
    <n v="10.46"/>
    <n v="90.41"/>
  </r>
  <r>
    <s v="2024-07-13"/>
    <x v="0"/>
    <x v="6"/>
    <s v="DOGE"/>
    <n v="334114964926.84998"/>
    <n v="63825.05"/>
    <n v="46544245341.449997"/>
    <n v="16037528"/>
    <n v="16486458"/>
    <n v="17451678"/>
    <n v="58.69"/>
    <n v="4.95"/>
    <n v="-12.92"/>
    <n v="-30.48"/>
    <n v="65"/>
    <x v="3"/>
    <x v="1"/>
    <x v="0"/>
    <x v="12"/>
    <x v="0"/>
    <n v="6249"/>
    <n v="87.47"/>
    <n v="86.74"/>
    <n v="73.569999999999993"/>
    <n v="18.989999999999998"/>
  </r>
  <r>
    <s v="2024-05-26"/>
    <x v="6"/>
    <x v="4"/>
    <s v="DOT"/>
    <n v="86931354698.080002"/>
    <n v="43049.07"/>
    <n v="35779888311.400002"/>
    <n v="11243853"/>
    <n v="14184887"/>
    <n v="14537322"/>
    <n v="22.02"/>
    <n v="-1.76"/>
    <n v="-5.05"/>
    <n v="-12.83"/>
    <n v="30"/>
    <x v="0"/>
    <x v="1"/>
    <x v="3"/>
    <x v="9"/>
    <x v="1"/>
    <n v="7821"/>
    <n v="17.64"/>
    <n v="62.43"/>
    <n v="37.11"/>
    <n v="66.36"/>
  </r>
  <r>
    <s v="2024-05-22"/>
    <x v="6"/>
    <x v="5"/>
    <s v="XRP"/>
    <n v="682309265969.84998"/>
    <n v="46766"/>
    <n v="7852653158.8199997"/>
    <n v="15018768"/>
    <n v="19943657"/>
    <n v="20727531"/>
    <n v="41.05"/>
    <n v="-3.76"/>
    <n v="-3.84"/>
    <n v="35.99"/>
    <n v="107"/>
    <x v="4"/>
    <x v="4"/>
    <x v="3"/>
    <x v="8"/>
    <x v="2"/>
    <n v="1582"/>
    <n v="65.48"/>
    <n v="78.77"/>
    <n v="65.94"/>
    <n v="47.1"/>
  </r>
  <r>
    <s v="2024-04-27"/>
    <x v="8"/>
    <x v="5"/>
    <s v="XRP"/>
    <n v="777188028712.73999"/>
    <n v="63616.74"/>
    <n v="37245087282.519997"/>
    <n v="17362285"/>
    <n v="19562561"/>
    <n v="19772513"/>
    <n v="36.020000000000003"/>
    <n v="3.36"/>
    <n v="-11.11"/>
    <n v="-10.82"/>
    <n v="95"/>
    <x v="2"/>
    <x v="0"/>
    <x v="2"/>
    <x v="2"/>
    <x v="2"/>
    <n v="41604"/>
    <n v="80.58"/>
    <n v="89.36"/>
    <n v="32.479999999999997"/>
    <n v="34.119999999999997"/>
  </r>
  <r>
    <s v="2024-01-09"/>
    <x v="2"/>
    <x v="8"/>
    <s v="ETH"/>
    <n v="287453190948.26001"/>
    <n v="9830.0499999999993"/>
    <n v="21048952885.82"/>
    <n v="6378574"/>
    <n v="7074765"/>
    <n v="7840924"/>
    <n v="38.99"/>
    <n v="-0.4"/>
    <n v="-4.32"/>
    <n v="-35.770000000000003"/>
    <n v="62"/>
    <x v="1"/>
    <x v="3"/>
    <x v="4"/>
    <x v="9"/>
    <x v="1"/>
    <n v="6827"/>
    <n v="73.87"/>
    <n v="42.82"/>
    <n v="62.57"/>
    <n v="36.71"/>
  </r>
  <r>
    <s v="2024-02-27"/>
    <x v="1"/>
    <x v="8"/>
    <s v="ETH"/>
    <n v="259762579420.70999"/>
    <n v="56290.58"/>
    <n v="14898439331.34"/>
    <n v="1017282"/>
    <n v="4519800"/>
    <n v="4522631"/>
    <n v="44.41"/>
    <n v="1.35"/>
    <n v="11.96"/>
    <n v="1.31"/>
    <n v="82"/>
    <x v="2"/>
    <x v="0"/>
    <x v="4"/>
    <x v="3"/>
    <x v="1"/>
    <n v="44396"/>
    <n v="16.18"/>
    <n v="47.53"/>
    <n v="90.1"/>
    <n v="48.01"/>
  </r>
  <r>
    <s v="2024-01-05"/>
    <x v="2"/>
    <x v="8"/>
    <s v="ETH"/>
    <n v="274009474115.89999"/>
    <n v="28410.799999999999"/>
    <n v="4610763737.8800001"/>
    <n v="8684073"/>
    <n v="12850938"/>
    <n v="13540309"/>
    <n v="6.1"/>
    <n v="-4.8499999999999996"/>
    <n v="4.74"/>
    <n v="15.31"/>
    <n v="56"/>
    <x v="4"/>
    <x v="2"/>
    <x v="4"/>
    <x v="4"/>
    <x v="1"/>
    <n v="4171"/>
    <n v="99.11"/>
    <n v="84.13"/>
    <n v="79.25"/>
    <n v="43.73"/>
  </r>
  <r>
    <s v="2024-03-22"/>
    <x v="9"/>
    <x v="0"/>
    <s v="LTC"/>
    <n v="828993317973.56995"/>
    <n v="48145.32"/>
    <n v="6431895639.6599998"/>
    <n v="6379303"/>
    <n v="9241245"/>
    <n v="9268908"/>
    <n v="24.89"/>
    <n v="-2.61"/>
    <n v="10.31"/>
    <n v="14.87"/>
    <n v="80"/>
    <x v="0"/>
    <x v="4"/>
    <x v="3"/>
    <x v="13"/>
    <x v="0"/>
    <n v="55776"/>
    <n v="77.81"/>
    <n v="83.61"/>
    <n v="68.23"/>
    <n v="28.04"/>
  </r>
  <r>
    <s v="2024-11-19"/>
    <x v="3"/>
    <x v="3"/>
    <s v="SOL"/>
    <n v="743256037381.85999"/>
    <n v="22683.21"/>
    <n v="8892272920.3600006"/>
    <n v="14660707"/>
    <n v="16581428"/>
    <n v="17569311"/>
    <n v="57.97"/>
    <n v="2.35"/>
    <n v="3.35"/>
    <n v="30.69"/>
    <n v="77"/>
    <x v="1"/>
    <x v="0"/>
    <x v="0"/>
    <x v="11"/>
    <x v="1"/>
    <n v="34524"/>
    <n v="80.72"/>
    <n v="46.06"/>
    <n v="62.74"/>
    <n v="74.2"/>
  </r>
  <r>
    <s v="2024-02-27"/>
    <x v="1"/>
    <x v="1"/>
    <s v="BNB"/>
    <n v="298404613703.15002"/>
    <n v="41876.58"/>
    <n v="603400345.50999999"/>
    <n v="12853380"/>
    <n v="15561623"/>
    <n v="15586909"/>
    <n v="19.05"/>
    <n v="-3.49"/>
    <n v="-4.17"/>
    <n v="5.49"/>
    <n v="197"/>
    <x v="3"/>
    <x v="3"/>
    <x v="2"/>
    <x v="0"/>
    <x v="1"/>
    <n v="6376"/>
    <n v="21.89"/>
    <n v="84.77"/>
    <n v="87.63"/>
    <n v="43.21"/>
  </r>
  <r>
    <s v="2024-05-23"/>
    <x v="6"/>
    <x v="5"/>
    <s v="XRP"/>
    <n v="750399942937.42004"/>
    <n v="20215"/>
    <n v="45171393920.870003"/>
    <n v="12972445"/>
    <n v="14384948"/>
    <n v="15273567"/>
    <n v="51.86"/>
    <n v="2.61"/>
    <n v="6.93"/>
    <n v="6.06"/>
    <n v="108"/>
    <x v="0"/>
    <x v="4"/>
    <x v="4"/>
    <x v="8"/>
    <x v="2"/>
    <n v="4797"/>
    <n v="97.08"/>
    <n v="95.73"/>
    <n v="25.11"/>
    <n v="82.68"/>
  </r>
  <r>
    <s v="2024-09-26"/>
    <x v="11"/>
    <x v="3"/>
    <s v="SOL"/>
    <n v="886590229730.89001"/>
    <n v="22973.56"/>
    <n v="33162819997.619999"/>
    <n v="1401791"/>
    <n v="5800804"/>
    <n v="6433735"/>
    <n v="52.13"/>
    <n v="-4.75"/>
    <n v="13.3"/>
    <n v="36.130000000000003"/>
    <n v="112"/>
    <x v="3"/>
    <x v="3"/>
    <x v="1"/>
    <x v="11"/>
    <x v="1"/>
    <n v="40167"/>
    <n v="85"/>
    <n v="83.48"/>
    <n v="84.64"/>
    <n v="82.15"/>
  </r>
  <r>
    <s v="2024-11-17"/>
    <x v="3"/>
    <x v="2"/>
    <s v="ADA"/>
    <n v="110546585013.11"/>
    <n v="24063.63"/>
    <n v="6193843796.1000004"/>
    <n v="6857447"/>
    <n v="9909257"/>
    <n v="10031245"/>
    <n v="58.54"/>
    <n v="2.71"/>
    <n v="-4.2300000000000004"/>
    <n v="-33.950000000000003"/>
    <n v="70"/>
    <x v="2"/>
    <x v="2"/>
    <x v="1"/>
    <x v="12"/>
    <x v="1"/>
    <n v="14449"/>
    <n v="55.13"/>
    <n v="56.64"/>
    <n v="60.24"/>
    <n v="83.47"/>
  </r>
  <r>
    <s v="2024-09-03"/>
    <x v="11"/>
    <x v="5"/>
    <s v="XRP"/>
    <n v="386473730902.28003"/>
    <n v="33680.97"/>
    <n v="35309179697.910004"/>
    <n v="1687117"/>
    <n v="4845590"/>
    <n v="5385297"/>
    <n v="32.409999999999997"/>
    <n v="4.53"/>
    <n v="-10.68"/>
    <n v="31.08"/>
    <n v="165"/>
    <x v="1"/>
    <x v="4"/>
    <x v="0"/>
    <x v="13"/>
    <x v="2"/>
    <n v="52012"/>
    <n v="62.39"/>
    <n v="37.58"/>
    <n v="32.82"/>
    <n v="80.290000000000006"/>
  </r>
  <r>
    <s v="2024-06-05"/>
    <x v="7"/>
    <x v="1"/>
    <s v="BNB"/>
    <n v="417539267176.77002"/>
    <n v="34534.730000000003"/>
    <n v="11899975206.790001"/>
    <n v="18747957"/>
    <n v="22224186"/>
    <n v="22247376"/>
    <n v="43.63"/>
    <n v="1.75"/>
    <n v="-11.94"/>
    <n v="16.079999999999998"/>
    <n v="67"/>
    <x v="1"/>
    <x v="3"/>
    <x v="1"/>
    <x v="0"/>
    <x v="1"/>
    <n v="20030"/>
    <n v="98.96"/>
    <n v="79.19"/>
    <n v="89.55"/>
    <n v="15.19"/>
  </r>
  <r>
    <s v="2024-02-18"/>
    <x v="1"/>
    <x v="4"/>
    <s v="DOT"/>
    <n v="227902619667.10001"/>
    <n v="26687.040000000001"/>
    <n v="17020675918.709999"/>
    <n v="17287390"/>
    <n v="18598507"/>
    <n v="19023554"/>
    <n v="17.59"/>
    <n v="-1.32"/>
    <n v="-10.82"/>
    <n v="-28.06"/>
    <n v="98"/>
    <x v="3"/>
    <x v="4"/>
    <x v="4"/>
    <x v="10"/>
    <x v="1"/>
    <n v="53786"/>
    <n v="96.65"/>
    <n v="23.31"/>
    <n v="22.06"/>
    <n v="66.37"/>
  </r>
  <r>
    <s v="2024-10-08"/>
    <x v="10"/>
    <x v="9"/>
    <s v="BTC"/>
    <n v="741243921668.95996"/>
    <n v="27408.22"/>
    <n v="4626886908.8800001"/>
    <n v="15422979"/>
    <n v="17204283"/>
    <n v="17435254"/>
    <n v="4.3"/>
    <n v="2.25"/>
    <n v="-18.170000000000002"/>
    <n v="26.75"/>
    <n v="43"/>
    <x v="2"/>
    <x v="3"/>
    <x v="0"/>
    <x v="7"/>
    <x v="0"/>
    <n v="7034"/>
    <n v="56.09"/>
    <n v="20.059999999999999"/>
    <n v="47.37"/>
    <n v="50.36"/>
  </r>
  <r>
    <s v="2024-08-27"/>
    <x v="5"/>
    <x v="7"/>
    <s v="AVAX"/>
    <n v="424758183241.97998"/>
    <n v="60839.22"/>
    <n v="22464117586.209999"/>
    <n v="6348451"/>
    <n v="11312896"/>
    <n v="12030150"/>
    <n v="16.920000000000002"/>
    <n v="0.89"/>
    <n v="19.77"/>
    <n v="38.01"/>
    <n v="188"/>
    <x v="1"/>
    <x v="2"/>
    <x v="0"/>
    <x v="13"/>
    <x v="1"/>
    <n v="32959"/>
    <n v="63.5"/>
    <n v="54.42"/>
    <n v="49.65"/>
    <n v="87.63"/>
  </r>
  <r>
    <s v="2024-06-30"/>
    <x v="7"/>
    <x v="5"/>
    <s v="XRP"/>
    <n v="5417307714.7299995"/>
    <n v="18564.45"/>
    <n v="17853935788.59"/>
    <n v="16879953"/>
    <n v="21242271"/>
    <n v="21462981"/>
    <n v="31.42"/>
    <n v="1.26"/>
    <n v="17.059999999999999"/>
    <n v="-9.59"/>
    <n v="141"/>
    <x v="3"/>
    <x v="1"/>
    <x v="3"/>
    <x v="5"/>
    <x v="2"/>
    <n v="24248"/>
    <n v="47.66"/>
    <n v="56.71"/>
    <n v="49.31"/>
    <n v="47.43"/>
  </r>
  <r>
    <s v="2024-12-19"/>
    <x v="4"/>
    <x v="9"/>
    <s v="BTC"/>
    <n v="394664735952.52002"/>
    <n v="43085.88"/>
    <n v="12387859711.51"/>
    <n v="13796293"/>
    <n v="16046195"/>
    <n v="16135121"/>
    <n v="50"/>
    <n v="2.5499999999999998"/>
    <n v="-4.2300000000000004"/>
    <n v="27.4"/>
    <n v="68"/>
    <x v="3"/>
    <x v="4"/>
    <x v="4"/>
    <x v="13"/>
    <x v="0"/>
    <n v="3547"/>
    <n v="70.239999999999995"/>
    <n v="34.94"/>
    <n v="80.37"/>
    <n v="24.85"/>
  </r>
  <r>
    <s v="2024-03-19"/>
    <x v="9"/>
    <x v="5"/>
    <s v="XRP"/>
    <n v="227421133782.32999"/>
    <n v="47547.06"/>
    <n v="25265047991.189999"/>
    <n v="1844347"/>
    <n v="4248307"/>
    <n v="5035300"/>
    <n v="18.82"/>
    <n v="-0.12"/>
    <n v="-14.24"/>
    <n v="-25.97"/>
    <n v="27"/>
    <x v="3"/>
    <x v="0"/>
    <x v="0"/>
    <x v="7"/>
    <x v="2"/>
    <n v="2289"/>
    <n v="50.07"/>
    <n v="89.84"/>
    <n v="68.930000000000007"/>
    <n v="77.540000000000006"/>
  </r>
  <r>
    <s v="2024-05-28"/>
    <x v="6"/>
    <x v="5"/>
    <s v="XRP"/>
    <n v="761063961555.68005"/>
    <n v="7912.76"/>
    <n v="745598854.42999995"/>
    <n v="1225191"/>
    <n v="1672666"/>
    <n v="2278890"/>
    <n v="7.63"/>
    <n v="0.28999999999999998"/>
    <n v="-9.1999999999999993"/>
    <n v="-37.82"/>
    <n v="122"/>
    <x v="1"/>
    <x v="3"/>
    <x v="1"/>
    <x v="12"/>
    <x v="2"/>
    <n v="64612"/>
    <n v="59.59"/>
    <n v="71.400000000000006"/>
    <n v="53.59"/>
    <n v="45.45"/>
  </r>
  <r>
    <s v="2024-07-01"/>
    <x v="0"/>
    <x v="2"/>
    <s v="ADA"/>
    <n v="286869629006.89001"/>
    <n v="38233.769999999997"/>
    <n v="7585844620.8599997"/>
    <n v="13566780"/>
    <n v="17946883"/>
    <n v="18192052"/>
    <n v="2.4900000000000002"/>
    <n v="-2.02"/>
    <n v="4.01"/>
    <n v="-9.92"/>
    <n v="134"/>
    <x v="2"/>
    <x v="1"/>
    <x v="4"/>
    <x v="13"/>
    <x v="1"/>
    <n v="32122"/>
    <n v="25.33"/>
    <n v="25.11"/>
    <n v="61.91"/>
    <n v="62.3"/>
  </r>
  <r>
    <s v="2024-01-19"/>
    <x v="2"/>
    <x v="5"/>
    <s v="XRP"/>
    <n v="485622506330.03998"/>
    <n v="32610.19"/>
    <n v="24815287067.060001"/>
    <n v="15176742"/>
    <n v="18499474"/>
    <n v="19112302"/>
    <n v="0.8"/>
    <n v="0.14000000000000001"/>
    <n v="-19.52"/>
    <n v="-20.47"/>
    <n v="92"/>
    <x v="2"/>
    <x v="3"/>
    <x v="4"/>
    <x v="5"/>
    <x v="2"/>
    <n v="43116"/>
    <n v="40.68"/>
    <n v="50.15"/>
    <n v="49.93"/>
    <n v="57.3"/>
  </r>
  <r>
    <s v="2024-12-10"/>
    <x v="4"/>
    <x v="6"/>
    <s v="DOGE"/>
    <n v="362925749223.41998"/>
    <n v="8337.59"/>
    <n v="4650458219.5100002"/>
    <n v="17339021"/>
    <n v="20490256"/>
    <n v="20940334"/>
    <n v="11.6"/>
    <n v="1.97"/>
    <n v="19.170000000000002"/>
    <n v="-24.56"/>
    <n v="96"/>
    <x v="2"/>
    <x v="4"/>
    <x v="3"/>
    <x v="12"/>
    <x v="0"/>
    <n v="29496"/>
    <n v="83.7"/>
    <n v="29.74"/>
    <n v="90.2"/>
    <n v="90.17"/>
  </r>
  <r>
    <s v="2024-01-31"/>
    <x v="2"/>
    <x v="1"/>
    <s v="BNB"/>
    <n v="823978741716.83997"/>
    <n v="54270.96"/>
    <n v="27526280123.18"/>
    <n v="9998001"/>
    <n v="10645740"/>
    <n v="10902791"/>
    <n v="52.04"/>
    <n v="3.45"/>
    <n v="7.43"/>
    <n v="-29.11"/>
    <n v="191"/>
    <x v="0"/>
    <x v="1"/>
    <x v="1"/>
    <x v="3"/>
    <x v="1"/>
    <n v="21020"/>
    <n v="37.03"/>
    <n v="36.9"/>
    <n v="49.62"/>
    <n v="52.63"/>
  </r>
  <r>
    <s v="2024-08-14"/>
    <x v="5"/>
    <x v="0"/>
    <s v="LTC"/>
    <n v="26602882872.060001"/>
    <n v="39278.94"/>
    <n v="5238603052.1999998"/>
    <n v="17865600"/>
    <n v="18668043"/>
    <n v="19647198"/>
    <n v="27.96"/>
    <n v="0.41"/>
    <n v="-8.6199999999999992"/>
    <n v="-32.75"/>
    <n v="197"/>
    <x v="0"/>
    <x v="1"/>
    <x v="0"/>
    <x v="0"/>
    <x v="0"/>
    <n v="29190"/>
    <n v="21.25"/>
    <n v="34.340000000000003"/>
    <n v="96.32"/>
    <n v="29.34"/>
  </r>
  <r>
    <s v="2024-11-17"/>
    <x v="3"/>
    <x v="1"/>
    <s v="BNB"/>
    <n v="75435078885.309998"/>
    <n v="43918.65"/>
    <n v="30166282459.07"/>
    <n v="8713986"/>
    <n v="9526731"/>
    <n v="9579752"/>
    <n v="28.57"/>
    <n v="1.1299999999999999"/>
    <n v="15.47"/>
    <n v="29.34"/>
    <n v="92"/>
    <x v="2"/>
    <x v="4"/>
    <x v="4"/>
    <x v="11"/>
    <x v="1"/>
    <n v="48427"/>
    <n v="63.22"/>
    <n v="94.67"/>
    <n v="59.72"/>
    <n v="74.260000000000005"/>
  </r>
  <r>
    <s v="2024-11-25"/>
    <x v="3"/>
    <x v="8"/>
    <s v="ETH"/>
    <n v="679322646987.69995"/>
    <n v="65346.720000000001"/>
    <n v="44319591842.470001"/>
    <n v="6389456"/>
    <n v="6695912"/>
    <n v="6785337"/>
    <n v="24.08"/>
    <n v="2.96"/>
    <n v="-9.4"/>
    <n v="18.170000000000002"/>
    <n v="94"/>
    <x v="1"/>
    <x v="2"/>
    <x v="2"/>
    <x v="2"/>
    <x v="1"/>
    <n v="16820"/>
    <n v="72.489999999999995"/>
    <n v="41.56"/>
    <n v="57.12"/>
    <n v="61.85"/>
  </r>
  <r>
    <s v="2024-06-04"/>
    <x v="7"/>
    <x v="1"/>
    <s v="BNB"/>
    <n v="42233325628.480003"/>
    <n v="54352.41"/>
    <n v="33427487846.57"/>
    <n v="12604189"/>
    <n v="16829570"/>
    <n v="16890666"/>
    <n v="23.84"/>
    <n v="0.86"/>
    <n v="-18.96"/>
    <n v="-16.36"/>
    <n v="38"/>
    <x v="2"/>
    <x v="1"/>
    <x v="4"/>
    <x v="13"/>
    <x v="1"/>
    <n v="6291"/>
    <n v="24.93"/>
    <n v="52.8"/>
    <n v="12.51"/>
    <n v="89.15"/>
  </r>
  <r>
    <s v="2024-02-12"/>
    <x v="1"/>
    <x v="8"/>
    <s v="ETH"/>
    <n v="261573906169.20999"/>
    <n v="69090.880000000005"/>
    <n v="40754059889.540001"/>
    <n v="14838829"/>
    <n v="15695126"/>
    <n v="16255546"/>
    <n v="12.75"/>
    <n v="-0.22"/>
    <n v="-7.87"/>
    <n v="-18.02"/>
    <n v="195"/>
    <x v="3"/>
    <x v="4"/>
    <x v="0"/>
    <x v="6"/>
    <x v="1"/>
    <n v="36893"/>
    <n v="64.06"/>
    <n v="30.03"/>
    <n v="48.01"/>
    <n v="11.93"/>
  </r>
  <r>
    <s v="2024-03-10"/>
    <x v="9"/>
    <x v="2"/>
    <s v="ADA"/>
    <n v="386655466331.59998"/>
    <n v="66474.63"/>
    <n v="47737060609.260002"/>
    <n v="4674024"/>
    <n v="8762853"/>
    <n v="9752729"/>
    <n v="21.51"/>
    <n v="-4.12"/>
    <n v="13.42"/>
    <n v="-28.07"/>
    <n v="112"/>
    <x v="3"/>
    <x v="0"/>
    <x v="2"/>
    <x v="2"/>
    <x v="1"/>
    <n v="1525"/>
    <n v="78.930000000000007"/>
    <n v="79.22"/>
    <n v="33.659999999999997"/>
    <n v="43.07"/>
  </r>
  <r>
    <s v="2024-09-19"/>
    <x v="11"/>
    <x v="4"/>
    <s v="DOT"/>
    <n v="190752273309.42999"/>
    <n v="30699.98"/>
    <n v="49257833825.050003"/>
    <n v="3597071"/>
    <n v="4719814"/>
    <n v="5277799"/>
    <n v="30.56"/>
    <n v="-1.1499999999999999"/>
    <n v="4.74"/>
    <n v="-27.16"/>
    <n v="188"/>
    <x v="0"/>
    <x v="1"/>
    <x v="3"/>
    <x v="3"/>
    <x v="1"/>
    <n v="13932"/>
    <n v="82.29"/>
    <n v="71.06"/>
    <n v="70.930000000000007"/>
    <n v="40.39"/>
  </r>
  <r>
    <s v="2024-02-13"/>
    <x v="1"/>
    <x v="2"/>
    <s v="ADA"/>
    <n v="91162813956.479996"/>
    <n v="15116.2"/>
    <n v="13525040540.4"/>
    <n v="2500058"/>
    <n v="6286468"/>
    <n v="6496791"/>
    <n v="9.74"/>
    <n v="3.41"/>
    <n v="19.579999999999998"/>
    <n v="-31.54"/>
    <n v="26"/>
    <x v="2"/>
    <x v="3"/>
    <x v="0"/>
    <x v="2"/>
    <x v="1"/>
    <n v="21124"/>
    <n v="95.97"/>
    <n v="79.73"/>
    <n v="45.86"/>
    <n v="37.33"/>
  </r>
  <r>
    <s v="2024-02-20"/>
    <x v="1"/>
    <x v="0"/>
    <s v="LTC"/>
    <n v="106242800225.92"/>
    <n v="35219.230000000003"/>
    <n v="3988797424.5700002"/>
    <n v="10749610"/>
    <n v="12930338"/>
    <n v="13486441"/>
    <n v="40.5"/>
    <n v="4.53"/>
    <n v="-13.37"/>
    <n v="28.67"/>
    <n v="34"/>
    <x v="0"/>
    <x v="2"/>
    <x v="2"/>
    <x v="5"/>
    <x v="0"/>
    <n v="63301"/>
    <n v="11.57"/>
    <n v="35.1"/>
    <n v="82.66"/>
    <n v="71.75"/>
  </r>
  <r>
    <s v="2024-10-18"/>
    <x v="10"/>
    <x v="5"/>
    <s v="XRP"/>
    <n v="329223198619.52002"/>
    <n v="42135.98"/>
    <n v="26141358775.380001"/>
    <n v="14574232"/>
    <n v="14619636"/>
    <n v="14721220"/>
    <n v="36.130000000000003"/>
    <n v="4.9800000000000004"/>
    <n v="-12.59"/>
    <n v="15.83"/>
    <n v="148"/>
    <x v="0"/>
    <x v="4"/>
    <x v="1"/>
    <x v="1"/>
    <x v="2"/>
    <n v="11991"/>
    <n v="94.06"/>
    <n v="93.08"/>
    <n v="41.57"/>
    <n v="28.69"/>
  </r>
  <r>
    <s v="2024-08-06"/>
    <x v="5"/>
    <x v="2"/>
    <s v="ADA"/>
    <n v="498656401457.52002"/>
    <n v="8242.18"/>
    <n v="46385734981.550003"/>
    <n v="16588421"/>
    <n v="20770803"/>
    <n v="20913252"/>
    <n v="36.97"/>
    <n v="-4"/>
    <n v="-14.68"/>
    <n v="-15.03"/>
    <n v="109"/>
    <x v="4"/>
    <x v="4"/>
    <x v="1"/>
    <x v="9"/>
    <x v="1"/>
    <n v="60577"/>
    <n v="56.97"/>
    <n v="20.7"/>
    <n v="70.739999999999995"/>
    <n v="23.16"/>
  </r>
  <r>
    <s v="2024-11-04"/>
    <x v="3"/>
    <x v="9"/>
    <s v="BTC"/>
    <n v="814950172333.47998"/>
    <n v="64993.17"/>
    <n v="35812961993.779999"/>
    <n v="11402327"/>
    <n v="13166002"/>
    <n v="13275195"/>
    <n v="38.68"/>
    <n v="-0.3"/>
    <n v="-13.35"/>
    <n v="11.87"/>
    <n v="9"/>
    <x v="2"/>
    <x v="3"/>
    <x v="1"/>
    <x v="6"/>
    <x v="0"/>
    <n v="534"/>
    <n v="37.53"/>
    <n v="95.51"/>
    <n v="84.27"/>
    <n v="49.91"/>
  </r>
  <r>
    <s v="2024-04-15"/>
    <x v="8"/>
    <x v="7"/>
    <s v="AVAX"/>
    <n v="511671630056.78003"/>
    <n v="23118.22"/>
    <n v="38040404307.269997"/>
    <n v="7099888"/>
    <n v="8224050"/>
    <n v="8806469"/>
    <n v="55.25"/>
    <n v="-0.97"/>
    <n v="12.35"/>
    <n v="-6.9"/>
    <n v="184"/>
    <x v="2"/>
    <x v="2"/>
    <x v="1"/>
    <x v="13"/>
    <x v="1"/>
    <n v="26264"/>
    <n v="42.6"/>
    <n v="35.1"/>
    <n v="22.21"/>
    <n v="63.09"/>
  </r>
  <r>
    <s v="2024-01-12"/>
    <x v="2"/>
    <x v="3"/>
    <s v="SOL"/>
    <n v="330911898046.12"/>
    <n v="45689.63"/>
    <n v="6282498865.6300001"/>
    <n v="6496528"/>
    <n v="9497727"/>
    <n v="9747781"/>
    <n v="12.19"/>
    <n v="-2.5"/>
    <n v="19.7"/>
    <n v="5.87"/>
    <n v="144"/>
    <x v="2"/>
    <x v="1"/>
    <x v="3"/>
    <x v="6"/>
    <x v="1"/>
    <n v="54530"/>
    <n v="38.44"/>
    <n v="24.83"/>
    <n v="97.52"/>
    <n v="42.46"/>
  </r>
  <r>
    <s v="2024-09-02"/>
    <x v="11"/>
    <x v="7"/>
    <s v="AVAX"/>
    <n v="179936876213.17999"/>
    <n v="20623.43"/>
    <n v="44990862198.790001"/>
    <n v="9871294"/>
    <n v="10134813"/>
    <n v="11045422"/>
    <n v="43.87"/>
    <n v="3.94"/>
    <n v="-14.73"/>
    <n v="29.81"/>
    <n v="126"/>
    <x v="0"/>
    <x v="0"/>
    <x v="3"/>
    <x v="4"/>
    <x v="1"/>
    <n v="10137"/>
    <n v="68.989999999999995"/>
    <n v="82.86"/>
    <n v="11.26"/>
    <n v="47.27"/>
  </r>
  <r>
    <s v="2024-01-31"/>
    <x v="2"/>
    <x v="4"/>
    <s v="DOT"/>
    <n v="152255905011.81"/>
    <n v="8480.17"/>
    <n v="7520197823.8999996"/>
    <n v="6494668"/>
    <n v="9012832"/>
    <n v="9243074"/>
    <n v="51.12"/>
    <n v="4.1900000000000004"/>
    <n v="-10.029999999999999"/>
    <n v="9.3000000000000007"/>
    <n v="123"/>
    <x v="4"/>
    <x v="4"/>
    <x v="0"/>
    <x v="13"/>
    <x v="1"/>
    <n v="53361"/>
    <n v="29.34"/>
    <n v="82.47"/>
    <n v="12.06"/>
    <n v="56.06"/>
  </r>
  <r>
    <s v="2024-02-14"/>
    <x v="1"/>
    <x v="9"/>
    <s v="BTC"/>
    <n v="258518091834.31"/>
    <n v="55535.68"/>
    <n v="42544797929.910004"/>
    <n v="9489862"/>
    <n v="14035197"/>
    <n v="14237831"/>
    <n v="34.64"/>
    <n v="0.41"/>
    <n v="14.51"/>
    <n v="-26.42"/>
    <n v="150"/>
    <x v="1"/>
    <x v="3"/>
    <x v="3"/>
    <x v="10"/>
    <x v="0"/>
    <n v="61786"/>
    <n v="23.25"/>
    <n v="25.74"/>
    <n v="14.09"/>
    <n v="61.22"/>
  </r>
  <r>
    <s v="2024-07-28"/>
    <x v="0"/>
    <x v="3"/>
    <s v="SOL"/>
    <n v="81669738568.690002"/>
    <n v="58422.92"/>
    <n v="22738671649.650002"/>
    <n v="4341217"/>
    <n v="6795782"/>
    <n v="7378391"/>
    <n v="48.92"/>
    <n v="-3.92"/>
    <n v="-9.6199999999999992"/>
    <n v="-13.99"/>
    <n v="29"/>
    <x v="3"/>
    <x v="4"/>
    <x v="2"/>
    <x v="0"/>
    <x v="1"/>
    <n v="17148"/>
    <n v="96.95"/>
    <n v="54.56"/>
    <n v="26.23"/>
    <n v="45.5"/>
  </r>
  <r>
    <s v="2024-03-21"/>
    <x v="9"/>
    <x v="5"/>
    <s v="XRP"/>
    <n v="592998146265.59998"/>
    <n v="31091.62"/>
    <n v="18488538136.220001"/>
    <n v="15427943"/>
    <n v="16924686"/>
    <n v="17879281"/>
    <n v="12.73"/>
    <n v="-0.25"/>
    <n v="-6.38"/>
    <n v="-35.909999999999997"/>
    <n v="131"/>
    <x v="0"/>
    <x v="3"/>
    <x v="0"/>
    <x v="6"/>
    <x v="2"/>
    <n v="28797"/>
    <n v="96.57"/>
    <n v="69.88"/>
    <n v="15.45"/>
    <n v="92.52"/>
  </r>
  <r>
    <s v="2024-06-27"/>
    <x v="7"/>
    <x v="5"/>
    <s v="XRP"/>
    <n v="252370570888.79999"/>
    <n v="60347.03"/>
    <n v="20988953583.950001"/>
    <n v="6021123"/>
    <n v="9704406"/>
    <n v="10218584"/>
    <n v="26.5"/>
    <n v="-0.66"/>
    <n v="-11.69"/>
    <n v="38.6"/>
    <n v="165"/>
    <x v="4"/>
    <x v="3"/>
    <x v="4"/>
    <x v="8"/>
    <x v="2"/>
    <n v="33777"/>
    <n v="54.52"/>
    <n v="89.95"/>
    <n v="96.39"/>
    <n v="31.94"/>
  </r>
  <r>
    <s v="2024-02-11"/>
    <x v="1"/>
    <x v="4"/>
    <s v="DOT"/>
    <n v="419023946799.28003"/>
    <n v="4278.07"/>
    <n v="36031168624.790001"/>
    <n v="11881268"/>
    <n v="12355404"/>
    <n v="12649633"/>
    <n v="19.78"/>
    <n v="2"/>
    <n v="-16.47"/>
    <n v="-15.81"/>
    <n v="6"/>
    <x v="0"/>
    <x v="2"/>
    <x v="1"/>
    <x v="11"/>
    <x v="1"/>
    <n v="6563"/>
    <n v="34.81"/>
    <n v="70.55"/>
    <n v="18.170000000000002"/>
    <n v="72.81"/>
  </r>
  <r>
    <s v="2024-05-09"/>
    <x v="6"/>
    <x v="8"/>
    <s v="ETH"/>
    <n v="474376900281.90997"/>
    <n v="7221.84"/>
    <n v="23118126058.759998"/>
    <n v="3883531"/>
    <n v="4820842"/>
    <n v="5342136"/>
    <n v="30.24"/>
    <n v="-3.67"/>
    <n v="-12.08"/>
    <n v="-36.36"/>
    <n v="59"/>
    <x v="3"/>
    <x v="4"/>
    <x v="4"/>
    <x v="12"/>
    <x v="1"/>
    <n v="13070"/>
    <n v="97.87"/>
    <n v="23.87"/>
    <n v="42.18"/>
    <n v="55.56"/>
  </r>
  <r>
    <s v="2024-01-30"/>
    <x v="2"/>
    <x v="1"/>
    <s v="BNB"/>
    <n v="492422763591.40997"/>
    <n v="10721.35"/>
    <n v="43891864900.57"/>
    <n v="10606087"/>
    <n v="12085325"/>
    <n v="12336201"/>
    <n v="26.83"/>
    <n v="3.87"/>
    <n v="1.05"/>
    <n v="-32.42"/>
    <n v="53"/>
    <x v="4"/>
    <x v="1"/>
    <x v="1"/>
    <x v="2"/>
    <x v="1"/>
    <n v="1699"/>
    <n v="64.63"/>
    <n v="31.55"/>
    <n v="27.81"/>
    <n v="33.19"/>
  </r>
  <r>
    <s v="2024-04-08"/>
    <x v="8"/>
    <x v="8"/>
    <s v="ETH"/>
    <n v="209549556342.31"/>
    <n v="16575.59"/>
    <n v="6829944613.8599997"/>
    <n v="17816607"/>
    <n v="19830311"/>
    <n v="20186457"/>
    <n v="40.020000000000003"/>
    <n v="4.58"/>
    <n v="-16.87"/>
    <n v="-39.590000000000003"/>
    <n v="120"/>
    <x v="4"/>
    <x v="0"/>
    <x v="4"/>
    <x v="8"/>
    <x v="1"/>
    <n v="10881"/>
    <n v="15.05"/>
    <n v="21.33"/>
    <n v="28.36"/>
    <n v="54.98"/>
  </r>
  <r>
    <s v="2024-07-11"/>
    <x v="0"/>
    <x v="6"/>
    <s v="DOGE"/>
    <n v="334632313287.63"/>
    <n v="32163.18"/>
    <n v="917729996.25999999"/>
    <n v="15724501"/>
    <n v="19657430"/>
    <n v="19908888"/>
    <n v="16.2"/>
    <n v="4.8099999999999996"/>
    <n v="1.35"/>
    <n v="-9.64"/>
    <n v="178"/>
    <x v="2"/>
    <x v="4"/>
    <x v="3"/>
    <x v="11"/>
    <x v="0"/>
    <n v="9384"/>
    <n v="71.680000000000007"/>
    <n v="25.07"/>
    <n v="91.89"/>
    <n v="96.97"/>
  </r>
  <r>
    <s v="2024-09-23"/>
    <x v="11"/>
    <x v="4"/>
    <s v="DOT"/>
    <n v="190630436469.29999"/>
    <n v="46918.33"/>
    <n v="48728415187.690002"/>
    <n v="16604315"/>
    <n v="19933265"/>
    <n v="20743123"/>
    <n v="10.82"/>
    <n v="0.21"/>
    <n v="-13.38"/>
    <n v="-4.25"/>
    <n v="64"/>
    <x v="4"/>
    <x v="3"/>
    <x v="2"/>
    <x v="5"/>
    <x v="1"/>
    <n v="1984"/>
    <n v="31.59"/>
    <n v="37.590000000000003"/>
    <n v="82.48"/>
    <n v="98.53"/>
  </r>
  <r>
    <s v="2024-03-07"/>
    <x v="9"/>
    <x v="6"/>
    <s v="DOGE"/>
    <n v="557036780371.62"/>
    <n v="62565.919999999998"/>
    <n v="789965151.22000003"/>
    <n v="6071923"/>
    <n v="10054009"/>
    <n v="10183208"/>
    <n v="45.37"/>
    <n v="3.19"/>
    <n v="-19.21"/>
    <n v="-9.16"/>
    <n v="134"/>
    <x v="4"/>
    <x v="1"/>
    <x v="2"/>
    <x v="3"/>
    <x v="0"/>
    <n v="52356"/>
    <n v="30.46"/>
    <n v="83.69"/>
    <n v="87.95"/>
    <n v="15.57"/>
  </r>
  <r>
    <s v="2024-11-23"/>
    <x v="3"/>
    <x v="8"/>
    <s v="ETH"/>
    <n v="590352341296.78003"/>
    <n v="31908.68"/>
    <n v="10821461044.76"/>
    <n v="14091962"/>
    <n v="14114269"/>
    <n v="14902433"/>
    <n v="34.049999999999997"/>
    <n v="4.9000000000000004"/>
    <n v="7.35"/>
    <n v="-3.91"/>
    <n v="81"/>
    <x v="3"/>
    <x v="2"/>
    <x v="4"/>
    <x v="3"/>
    <x v="1"/>
    <n v="38148"/>
    <n v="80.61"/>
    <n v="30.68"/>
    <n v="56.28"/>
    <n v="95.86"/>
  </r>
  <r>
    <s v="2024-02-14"/>
    <x v="1"/>
    <x v="9"/>
    <s v="BTC"/>
    <n v="731515205903.55005"/>
    <n v="8893.64"/>
    <n v="28453367031.110001"/>
    <n v="18064181"/>
    <n v="18603617"/>
    <n v="18924721"/>
    <n v="26.29"/>
    <n v="1.58"/>
    <n v="17.12"/>
    <n v="28.82"/>
    <n v="198"/>
    <x v="1"/>
    <x v="4"/>
    <x v="1"/>
    <x v="10"/>
    <x v="0"/>
    <n v="47402"/>
    <n v="11.57"/>
    <n v="25.17"/>
    <n v="39.61"/>
    <n v="97.45"/>
  </r>
  <r>
    <s v="2024-12-01"/>
    <x v="4"/>
    <x v="0"/>
    <s v="LTC"/>
    <n v="583832077245.82996"/>
    <n v="22200.97"/>
    <n v="44531548472.790001"/>
    <n v="13576900"/>
    <n v="17926197"/>
    <n v="18548239"/>
    <n v="29.39"/>
    <n v="2.92"/>
    <n v="-2.33"/>
    <n v="-23.58"/>
    <n v="14"/>
    <x v="0"/>
    <x v="2"/>
    <x v="2"/>
    <x v="3"/>
    <x v="0"/>
    <n v="27706"/>
    <n v="97.16"/>
    <n v="98.02"/>
    <n v="43.06"/>
    <n v="63.4"/>
  </r>
  <r>
    <s v="2024-03-13"/>
    <x v="9"/>
    <x v="9"/>
    <s v="BTC"/>
    <n v="564640201104.38"/>
    <n v="4599.2299999999996"/>
    <n v="12302721082.690001"/>
    <n v="13670875"/>
    <n v="17177820"/>
    <n v="18115024"/>
    <n v="31.7"/>
    <n v="-2.21"/>
    <n v="-19.91"/>
    <n v="-13.86"/>
    <n v="29"/>
    <x v="2"/>
    <x v="0"/>
    <x v="3"/>
    <x v="5"/>
    <x v="0"/>
    <n v="47069"/>
    <n v="34.08"/>
    <n v="43.58"/>
    <n v="10.56"/>
    <n v="60.75"/>
  </r>
  <r>
    <s v="2024-06-06"/>
    <x v="7"/>
    <x v="1"/>
    <s v="BNB"/>
    <n v="497828950300.48999"/>
    <n v="37543.839999999997"/>
    <n v="42978793420.110001"/>
    <n v="1041416"/>
    <n v="5280871"/>
    <n v="6106121"/>
    <n v="40.11"/>
    <n v="-4.29"/>
    <n v="-5.39"/>
    <n v="-22.59"/>
    <n v="177"/>
    <x v="2"/>
    <x v="1"/>
    <x v="1"/>
    <x v="5"/>
    <x v="1"/>
    <n v="58093"/>
    <n v="58.83"/>
    <n v="54.48"/>
    <n v="93.84"/>
    <n v="48.23"/>
  </r>
  <r>
    <s v="2024-10-16"/>
    <x v="10"/>
    <x v="5"/>
    <s v="XRP"/>
    <n v="15725561232.83"/>
    <n v="56504.09"/>
    <n v="40863380771.190002"/>
    <n v="13284646"/>
    <n v="15854782"/>
    <n v="16448840"/>
    <n v="38.93"/>
    <n v="-0.72"/>
    <n v="-17.14"/>
    <n v="-34.549999999999997"/>
    <n v="11"/>
    <x v="0"/>
    <x v="0"/>
    <x v="0"/>
    <x v="3"/>
    <x v="2"/>
    <n v="30569"/>
    <n v="38.21"/>
    <n v="90.35"/>
    <n v="18.920000000000002"/>
    <n v="63.69"/>
  </r>
  <r>
    <s v="2024-02-21"/>
    <x v="1"/>
    <x v="3"/>
    <s v="SOL"/>
    <n v="138704608388.59"/>
    <n v="62399.78"/>
    <n v="17829120339.59"/>
    <n v="18778476"/>
    <n v="19615578"/>
    <n v="19945055"/>
    <n v="4.45"/>
    <n v="2.14"/>
    <n v="15.55"/>
    <n v="1.62"/>
    <n v="49"/>
    <x v="0"/>
    <x v="2"/>
    <x v="3"/>
    <x v="10"/>
    <x v="1"/>
    <n v="44267"/>
    <n v="46.16"/>
    <n v="23.97"/>
    <n v="51.72"/>
    <n v="85.41"/>
  </r>
  <r>
    <s v="2024-10-20"/>
    <x v="10"/>
    <x v="4"/>
    <s v="DOT"/>
    <n v="69649906643.289993"/>
    <n v="28088.65"/>
    <n v="43737522496.93"/>
    <n v="17859778"/>
    <n v="21678599"/>
    <n v="22654095"/>
    <n v="4.99"/>
    <n v="4.9000000000000004"/>
    <n v="9.49"/>
    <n v="-18.25"/>
    <n v="63"/>
    <x v="3"/>
    <x v="1"/>
    <x v="0"/>
    <x v="11"/>
    <x v="1"/>
    <n v="56917"/>
    <n v="65.23"/>
    <n v="99.12"/>
    <n v="97.98"/>
    <n v="62.94"/>
  </r>
  <r>
    <s v="2024-11-18"/>
    <x v="3"/>
    <x v="4"/>
    <s v="DOT"/>
    <n v="48710694929.910004"/>
    <n v="6141.93"/>
    <n v="9913637801.1200008"/>
    <n v="16317420"/>
    <n v="17136557"/>
    <n v="17797336"/>
    <n v="34.619999999999997"/>
    <n v="0.2"/>
    <n v="-3.29"/>
    <n v="-11.02"/>
    <n v="135"/>
    <x v="2"/>
    <x v="2"/>
    <x v="1"/>
    <x v="7"/>
    <x v="1"/>
    <n v="57494"/>
    <n v="77.47"/>
    <n v="80.010000000000005"/>
    <n v="57.93"/>
    <n v="65.72"/>
  </r>
  <r>
    <s v="2024-01-19"/>
    <x v="2"/>
    <x v="4"/>
    <s v="DOT"/>
    <n v="240327690907.47"/>
    <n v="61660.42"/>
    <n v="43358915380.43"/>
    <n v="3544339"/>
    <n v="6264576"/>
    <n v="6774854"/>
    <n v="52.14"/>
    <n v="1.08"/>
    <n v="-1.64"/>
    <n v="12.63"/>
    <n v="133"/>
    <x v="1"/>
    <x v="3"/>
    <x v="2"/>
    <x v="1"/>
    <x v="1"/>
    <n v="36650"/>
    <n v="40.25"/>
    <n v="41.43"/>
    <n v="67.44"/>
    <n v="43.8"/>
  </r>
  <r>
    <s v="2024-04-27"/>
    <x v="8"/>
    <x v="4"/>
    <s v="DOT"/>
    <n v="81132863481.399994"/>
    <n v="12728.47"/>
    <n v="35777188857.900002"/>
    <n v="5212062"/>
    <n v="6750402"/>
    <n v="7258664"/>
    <n v="21.13"/>
    <n v="-1.08"/>
    <n v="4.1399999999999997"/>
    <n v="30.05"/>
    <n v="20"/>
    <x v="0"/>
    <x v="4"/>
    <x v="2"/>
    <x v="8"/>
    <x v="1"/>
    <n v="8745"/>
    <n v="50.47"/>
    <n v="46.29"/>
    <n v="77.239999999999995"/>
    <n v="24.34"/>
  </r>
  <r>
    <s v="2024-11-11"/>
    <x v="3"/>
    <x v="8"/>
    <s v="ETH"/>
    <n v="337659290130.78003"/>
    <n v="37761.68"/>
    <n v="4033737533.54"/>
    <n v="13456217"/>
    <n v="14406925"/>
    <n v="14442237"/>
    <n v="36.909999999999997"/>
    <n v="-2.4700000000000002"/>
    <n v="8.7100000000000009"/>
    <n v="-2.2999999999999998"/>
    <n v="10"/>
    <x v="4"/>
    <x v="1"/>
    <x v="1"/>
    <x v="13"/>
    <x v="1"/>
    <n v="19194"/>
    <n v="73.349999999999994"/>
    <n v="77.55"/>
    <n v="50.95"/>
    <n v="32.31"/>
  </r>
  <r>
    <s v="2024-01-07"/>
    <x v="2"/>
    <x v="3"/>
    <s v="SOL"/>
    <n v="420383107243.51001"/>
    <n v="10996.45"/>
    <n v="6715834544.3900003"/>
    <n v="10253014"/>
    <n v="14916295"/>
    <n v="15602438"/>
    <n v="41.07"/>
    <n v="-0.95"/>
    <n v="8.35"/>
    <n v="-24.81"/>
    <n v="110"/>
    <x v="3"/>
    <x v="1"/>
    <x v="0"/>
    <x v="2"/>
    <x v="1"/>
    <n v="21706"/>
    <n v="20.13"/>
    <n v="30.33"/>
    <n v="66.22"/>
    <n v="29.17"/>
  </r>
  <r>
    <s v="2024-01-06"/>
    <x v="2"/>
    <x v="2"/>
    <s v="ADA"/>
    <n v="427545684916.77002"/>
    <n v="68749.14"/>
    <n v="8149668618.8299999"/>
    <n v="8844796"/>
    <n v="13119755"/>
    <n v="13368639"/>
    <n v="41.56"/>
    <n v="-4.1399999999999997"/>
    <n v="8.3800000000000008"/>
    <n v="26.58"/>
    <n v="96"/>
    <x v="1"/>
    <x v="0"/>
    <x v="2"/>
    <x v="9"/>
    <x v="1"/>
    <n v="24996"/>
    <n v="29.38"/>
    <n v="60.65"/>
    <n v="14.46"/>
    <n v="51.03"/>
  </r>
  <r>
    <s v="2024-05-11"/>
    <x v="6"/>
    <x v="7"/>
    <s v="AVAX"/>
    <n v="744264965229.02002"/>
    <n v="1295.74"/>
    <n v="31712435466.540001"/>
    <n v="6927641"/>
    <n v="11484686"/>
    <n v="11762035"/>
    <n v="48.54"/>
    <n v="-1.7"/>
    <n v="17.5"/>
    <n v="-36.71"/>
    <n v="39"/>
    <x v="2"/>
    <x v="0"/>
    <x v="4"/>
    <x v="1"/>
    <x v="1"/>
    <n v="12297"/>
    <n v="73.42"/>
    <n v="66.849999999999994"/>
    <n v="87.57"/>
    <n v="18.66"/>
  </r>
  <r>
    <s v="2024-10-09"/>
    <x v="10"/>
    <x v="1"/>
    <s v="BNB"/>
    <n v="509173882498.15997"/>
    <n v="16317.56"/>
    <n v="34180581756.799999"/>
    <n v="18231517"/>
    <n v="19805338"/>
    <n v="20285897"/>
    <n v="32.340000000000003"/>
    <n v="4.32"/>
    <n v="-6.42"/>
    <n v="-10.3"/>
    <n v="147"/>
    <x v="1"/>
    <x v="3"/>
    <x v="3"/>
    <x v="3"/>
    <x v="1"/>
    <n v="17400"/>
    <n v="89.16"/>
    <n v="82.06"/>
    <n v="41.45"/>
    <n v="34.200000000000003"/>
  </r>
  <r>
    <s v="2024-08-20"/>
    <x v="5"/>
    <x v="3"/>
    <s v="SOL"/>
    <n v="261515022032.04999"/>
    <n v="67151.64"/>
    <n v="20675610156.380001"/>
    <n v="9618323"/>
    <n v="13847509"/>
    <n v="14218158"/>
    <n v="15.31"/>
    <n v="-1.72"/>
    <n v="-1"/>
    <n v="5.22"/>
    <n v="169"/>
    <x v="4"/>
    <x v="4"/>
    <x v="4"/>
    <x v="1"/>
    <x v="1"/>
    <n v="31144"/>
    <n v="15.76"/>
    <n v="86.12"/>
    <n v="89.53"/>
    <n v="32.64"/>
  </r>
  <r>
    <s v="2024-04-20"/>
    <x v="8"/>
    <x v="9"/>
    <s v="BTC"/>
    <n v="130344694766.57001"/>
    <n v="27339.94"/>
    <n v="3115021118.5100002"/>
    <n v="1031012"/>
    <n v="3372264"/>
    <n v="4032860"/>
    <n v="39.65"/>
    <n v="-2.94"/>
    <n v="12.05"/>
    <n v="-1.69"/>
    <n v="172"/>
    <x v="2"/>
    <x v="1"/>
    <x v="0"/>
    <x v="11"/>
    <x v="0"/>
    <n v="16400"/>
    <n v="21.66"/>
    <n v="51.39"/>
    <n v="77.47"/>
    <n v="45.22"/>
  </r>
  <r>
    <s v="2024-07-14"/>
    <x v="0"/>
    <x v="5"/>
    <s v="XRP"/>
    <n v="416312479976.37"/>
    <n v="1929.72"/>
    <n v="6774129976.25"/>
    <n v="13859399"/>
    <n v="15802839"/>
    <n v="16608221"/>
    <n v="57.28"/>
    <n v="-2.86"/>
    <n v="13.08"/>
    <n v="25.97"/>
    <n v="64"/>
    <x v="3"/>
    <x v="0"/>
    <x v="1"/>
    <x v="3"/>
    <x v="2"/>
    <n v="10208"/>
    <n v="53.01"/>
    <n v="30.6"/>
    <n v="35.68"/>
    <n v="79"/>
  </r>
  <r>
    <s v="2024-12-03"/>
    <x v="4"/>
    <x v="7"/>
    <s v="AVAX"/>
    <n v="441658395867.16998"/>
    <n v="30213.09"/>
    <n v="6540518494.8500004"/>
    <n v="5246927"/>
    <n v="8455077"/>
    <n v="8994410"/>
    <n v="42.58"/>
    <n v="-1.72"/>
    <n v="-12.7"/>
    <n v="38.159999999999997"/>
    <n v="67"/>
    <x v="2"/>
    <x v="4"/>
    <x v="1"/>
    <x v="2"/>
    <x v="1"/>
    <n v="27130"/>
    <n v="67.040000000000006"/>
    <n v="83.33"/>
    <n v="17.63"/>
    <n v="52.75"/>
  </r>
  <r>
    <s v="2024-08-22"/>
    <x v="5"/>
    <x v="7"/>
    <s v="AVAX"/>
    <n v="886440911137.16003"/>
    <n v="29328.82"/>
    <n v="21737462284.369999"/>
    <n v="17087911"/>
    <n v="17102989"/>
    <n v="17536054"/>
    <n v="44.7"/>
    <n v="3.51"/>
    <n v="-1.18"/>
    <n v="-38.89"/>
    <n v="71"/>
    <x v="0"/>
    <x v="4"/>
    <x v="0"/>
    <x v="4"/>
    <x v="1"/>
    <n v="59556"/>
    <n v="56.75"/>
    <n v="26.18"/>
    <n v="97.09"/>
    <n v="24.68"/>
  </r>
  <r>
    <s v="2024-10-16"/>
    <x v="10"/>
    <x v="0"/>
    <s v="LTC"/>
    <n v="647210418102.54004"/>
    <n v="1481.6"/>
    <n v="32328265059.299999"/>
    <n v="14289581"/>
    <n v="16260962"/>
    <n v="16666041"/>
    <n v="23.75"/>
    <n v="-1.77"/>
    <n v="-16.53"/>
    <n v="-0.04"/>
    <n v="155"/>
    <x v="4"/>
    <x v="2"/>
    <x v="0"/>
    <x v="10"/>
    <x v="0"/>
    <n v="61502"/>
    <n v="53.29"/>
    <n v="42.21"/>
    <n v="63.01"/>
    <n v="30.8"/>
  </r>
  <r>
    <s v="2024-01-26"/>
    <x v="2"/>
    <x v="7"/>
    <s v="AVAX"/>
    <n v="163355387801.48999"/>
    <n v="43869.51"/>
    <n v="36085876520.529999"/>
    <n v="3071848"/>
    <n v="4094519"/>
    <n v="4414415"/>
    <n v="38.28"/>
    <n v="-4.3"/>
    <n v="-8.2899999999999991"/>
    <n v="25.13"/>
    <n v="136"/>
    <x v="1"/>
    <x v="1"/>
    <x v="3"/>
    <x v="0"/>
    <x v="1"/>
    <n v="26351"/>
    <n v="84.72"/>
    <n v="30.88"/>
    <n v="87.98"/>
    <n v="79.86"/>
  </r>
  <r>
    <s v="2024-01-12"/>
    <x v="2"/>
    <x v="1"/>
    <s v="BNB"/>
    <n v="342142529525.83002"/>
    <n v="44534.52"/>
    <n v="18756888421.23"/>
    <n v="13124736"/>
    <n v="16924405"/>
    <n v="17703150"/>
    <n v="26.28"/>
    <n v="-2.76"/>
    <n v="16.940000000000001"/>
    <n v="18.46"/>
    <n v="68"/>
    <x v="3"/>
    <x v="3"/>
    <x v="3"/>
    <x v="13"/>
    <x v="1"/>
    <n v="277"/>
    <n v="63.41"/>
    <n v="26.52"/>
    <n v="83.79"/>
    <n v="17.79"/>
  </r>
  <r>
    <s v="2024-10-17"/>
    <x v="10"/>
    <x v="7"/>
    <s v="AVAX"/>
    <n v="371559566387.59998"/>
    <n v="49999.46"/>
    <n v="26583958399.959999"/>
    <n v="10107257"/>
    <n v="10669474"/>
    <n v="11253425"/>
    <n v="9.35"/>
    <n v="-0.47"/>
    <n v="0.7"/>
    <n v="-37.29"/>
    <n v="134"/>
    <x v="0"/>
    <x v="0"/>
    <x v="4"/>
    <x v="7"/>
    <x v="1"/>
    <n v="48583"/>
    <n v="27.06"/>
    <n v="63.46"/>
    <n v="88.66"/>
    <n v="77.760000000000005"/>
  </r>
  <r>
    <s v="2024-10-29"/>
    <x v="10"/>
    <x v="9"/>
    <s v="BTC"/>
    <n v="120171907140.71001"/>
    <n v="21254.65"/>
    <n v="8485750456.5900002"/>
    <n v="8661419"/>
    <n v="12249394"/>
    <n v="12734759"/>
    <n v="4.4800000000000004"/>
    <n v="4.09"/>
    <n v="-4.72"/>
    <n v="26.99"/>
    <n v="174"/>
    <x v="0"/>
    <x v="4"/>
    <x v="1"/>
    <x v="2"/>
    <x v="0"/>
    <n v="3061"/>
    <n v="89.5"/>
    <n v="35.9"/>
    <n v="15.98"/>
    <n v="48.42"/>
  </r>
  <r>
    <s v="2024-04-27"/>
    <x v="8"/>
    <x v="1"/>
    <s v="BNB"/>
    <n v="84340068693.460007"/>
    <n v="6577.78"/>
    <n v="37829576903.870003"/>
    <n v="9248288"/>
    <n v="13866479"/>
    <n v="14569778"/>
    <n v="19.61"/>
    <n v="0.66"/>
    <n v="10.32"/>
    <n v="25.68"/>
    <n v="112"/>
    <x v="1"/>
    <x v="4"/>
    <x v="2"/>
    <x v="7"/>
    <x v="1"/>
    <n v="7246"/>
    <n v="27.73"/>
    <n v="87.21"/>
    <n v="28.61"/>
    <n v="58.27"/>
  </r>
  <r>
    <s v="2024-05-17"/>
    <x v="6"/>
    <x v="1"/>
    <s v="BNB"/>
    <n v="816877385831.08997"/>
    <n v="24523.07"/>
    <n v="38690407694.879997"/>
    <n v="9303759"/>
    <n v="12019493"/>
    <n v="12412742"/>
    <n v="27.22"/>
    <n v="4.3499999999999996"/>
    <n v="19.34"/>
    <n v="6.73"/>
    <n v="168"/>
    <x v="1"/>
    <x v="2"/>
    <x v="0"/>
    <x v="9"/>
    <x v="1"/>
    <n v="6501"/>
    <n v="13.93"/>
    <n v="53.79"/>
    <n v="85.29"/>
    <n v="26.71"/>
  </r>
  <r>
    <s v="2024-12-21"/>
    <x v="4"/>
    <x v="2"/>
    <s v="ADA"/>
    <n v="524952336198.04999"/>
    <n v="57907.96"/>
    <n v="24477454654.02"/>
    <n v="9563385"/>
    <n v="14197872"/>
    <n v="15137770"/>
    <n v="45.79"/>
    <n v="4.92"/>
    <n v="11.3"/>
    <n v="1.58"/>
    <n v="106"/>
    <x v="1"/>
    <x v="0"/>
    <x v="3"/>
    <x v="10"/>
    <x v="1"/>
    <n v="24017"/>
    <n v="78.680000000000007"/>
    <n v="76.319999999999993"/>
    <n v="46.77"/>
    <n v="82.63"/>
  </r>
  <r>
    <s v="2024-02-19"/>
    <x v="1"/>
    <x v="6"/>
    <s v="DOGE"/>
    <n v="207379063354.70999"/>
    <n v="44325.65"/>
    <n v="12749971964.620001"/>
    <n v="9811977"/>
    <n v="13273391"/>
    <n v="13628898"/>
    <n v="18.32"/>
    <n v="-0.56999999999999995"/>
    <n v="3.83"/>
    <n v="29.21"/>
    <n v="84"/>
    <x v="3"/>
    <x v="1"/>
    <x v="1"/>
    <x v="4"/>
    <x v="0"/>
    <n v="26639"/>
    <n v="51.42"/>
    <n v="29.36"/>
    <n v="90.83"/>
    <n v="62.5"/>
  </r>
  <r>
    <s v="2024-10-12"/>
    <x v="10"/>
    <x v="4"/>
    <s v="DOT"/>
    <n v="221204142559.10001"/>
    <n v="26409.279999999999"/>
    <n v="47124021315.269997"/>
    <n v="18665864"/>
    <n v="19037142"/>
    <n v="19280711"/>
    <n v="28.92"/>
    <n v="3.87"/>
    <n v="-8.07"/>
    <n v="-39.03"/>
    <n v="114"/>
    <x v="3"/>
    <x v="0"/>
    <x v="2"/>
    <x v="6"/>
    <x v="1"/>
    <n v="20550"/>
    <n v="39.9"/>
    <n v="89.97"/>
    <n v="96.83"/>
    <n v="89.74"/>
  </r>
  <r>
    <s v="2024-04-12"/>
    <x v="8"/>
    <x v="1"/>
    <s v="BNB"/>
    <n v="745829155089.59998"/>
    <n v="24873.27"/>
    <n v="30184184705.77"/>
    <n v="13294103"/>
    <n v="17971118"/>
    <n v="18488660"/>
    <n v="10.39"/>
    <n v="-3.71"/>
    <n v="7.7"/>
    <n v="-14.5"/>
    <n v="77"/>
    <x v="3"/>
    <x v="4"/>
    <x v="1"/>
    <x v="6"/>
    <x v="1"/>
    <n v="21309"/>
    <n v="58.13"/>
    <n v="20.41"/>
    <n v="14.34"/>
    <n v="69.599999999999994"/>
  </r>
  <r>
    <s v="2024-03-25"/>
    <x v="9"/>
    <x v="2"/>
    <s v="ADA"/>
    <n v="11983749522.48"/>
    <n v="34002.61"/>
    <n v="31872147342.150002"/>
    <n v="7594815"/>
    <n v="11268324"/>
    <n v="12129621"/>
    <n v="5.12"/>
    <n v="2.19"/>
    <n v="17.489999999999998"/>
    <n v="-0.51"/>
    <n v="198"/>
    <x v="3"/>
    <x v="0"/>
    <x v="2"/>
    <x v="3"/>
    <x v="1"/>
    <n v="62544"/>
    <n v="31.79"/>
    <n v="59.13"/>
    <n v="55.88"/>
    <n v="13.5"/>
  </r>
  <r>
    <s v="2024-12-14"/>
    <x v="4"/>
    <x v="8"/>
    <s v="ETH"/>
    <n v="259765020616.45999"/>
    <n v="1480.82"/>
    <n v="12513642917.15"/>
    <n v="4350984"/>
    <n v="7813379"/>
    <n v="7889106"/>
    <n v="50.8"/>
    <n v="2.0699999999999998"/>
    <n v="15.44"/>
    <n v="22.17"/>
    <n v="93"/>
    <x v="4"/>
    <x v="2"/>
    <x v="0"/>
    <x v="4"/>
    <x v="1"/>
    <n v="54616"/>
    <n v="98.91"/>
    <n v="82.98"/>
    <n v="79.739999999999995"/>
    <n v="90.75"/>
  </r>
  <r>
    <s v="2024-10-18"/>
    <x v="10"/>
    <x v="3"/>
    <s v="SOL"/>
    <n v="123178268179.84"/>
    <n v="51013.23"/>
    <n v="39972358294"/>
    <n v="1595831"/>
    <n v="3601532"/>
    <n v="3913973"/>
    <n v="24.92"/>
    <n v="2.35"/>
    <n v="19.8"/>
    <n v="-2.63"/>
    <n v="111"/>
    <x v="3"/>
    <x v="2"/>
    <x v="4"/>
    <x v="12"/>
    <x v="1"/>
    <n v="18790"/>
    <n v="18.149999999999999"/>
    <n v="40.799999999999997"/>
    <n v="29.31"/>
    <n v="94.23"/>
  </r>
  <r>
    <s v="2024-07-27"/>
    <x v="0"/>
    <x v="9"/>
    <s v="BTC"/>
    <n v="796151287943.72998"/>
    <n v="6787.06"/>
    <n v="27055448462.32"/>
    <n v="11742258"/>
    <n v="14832488"/>
    <n v="15540367"/>
    <n v="4.66"/>
    <n v="-1.72"/>
    <n v="7.0000000000000007E-2"/>
    <n v="4.1900000000000004"/>
    <n v="200"/>
    <x v="0"/>
    <x v="2"/>
    <x v="0"/>
    <x v="3"/>
    <x v="0"/>
    <n v="34815"/>
    <n v="16.23"/>
    <n v="27.93"/>
    <n v="85.3"/>
    <n v="25.06"/>
  </r>
  <r>
    <s v="2024-07-16"/>
    <x v="0"/>
    <x v="4"/>
    <s v="DOT"/>
    <n v="829050698508.62"/>
    <n v="10195.65"/>
    <n v="46743709063.470001"/>
    <n v="18680078"/>
    <n v="18723178"/>
    <n v="18973462"/>
    <n v="32.43"/>
    <n v="-0.61"/>
    <n v="13.07"/>
    <n v="33.24"/>
    <n v="76"/>
    <x v="4"/>
    <x v="4"/>
    <x v="3"/>
    <x v="1"/>
    <x v="1"/>
    <n v="56919"/>
    <n v="61.21"/>
    <n v="67.22"/>
    <n v="40.130000000000003"/>
    <n v="76.61"/>
  </r>
  <r>
    <s v="2024-01-30"/>
    <x v="2"/>
    <x v="3"/>
    <s v="SOL"/>
    <n v="435447012043.35999"/>
    <n v="49992.88"/>
    <n v="2591068498.1900001"/>
    <n v="18533160"/>
    <n v="20901653"/>
    <n v="21257605"/>
    <n v="43.71"/>
    <n v="3.32"/>
    <n v="10.74"/>
    <n v="19.489999999999998"/>
    <n v="186"/>
    <x v="3"/>
    <x v="4"/>
    <x v="2"/>
    <x v="8"/>
    <x v="1"/>
    <n v="30740"/>
    <n v="95.67"/>
    <n v="94.52"/>
    <n v="20.2"/>
    <n v="89.03"/>
  </r>
  <r>
    <s v="2024-10-31"/>
    <x v="10"/>
    <x v="5"/>
    <s v="XRP"/>
    <n v="687136273965.14001"/>
    <n v="36184.239999999998"/>
    <n v="638704041.67999995"/>
    <n v="6213291"/>
    <n v="8850094"/>
    <n v="9753867"/>
    <n v="3.66"/>
    <n v="-3.53"/>
    <n v="-5.6"/>
    <n v="27.87"/>
    <n v="107"/>
    <x v="2"/>
    <x v="4"/>
    <x v="0"/>
    <x v="11"/>
    <x v="2"/>
    <n v="19313"/>
    <n v="19.309999999999999"/>
    <n v="63.66"/>
    <n v="78.2"/>
    <n v="89.79"/>
  </r>
  <r>
    <s v="2024-09-20"/>
    <x v="11"/>
    <x v="5"/>
    <s v="XRP"/>
    <n v="335324853858.21997"/>
    <n v="17841.43"/>
    <n v="47045172724.919998"/>
    <n v="14669725"/>
    <n v="19480557"/>
    <n v="20346642"/>
    <n v="51.36"/>
    <n v="3.39"/>
    <n v="-15.16"/>
    <n v="38.83"/>
    <n v="158"/>
    <x v="0"/>
    <x v="3"/>
    <x v="0"/>
    <x v="12"/>
    <x v="2"/>
    <n v="56766"/>
    <n v="47.52"/>
    <n v="32.35"/>
    <n v="30.54"/>
    <n v="64.47"/>
  </r>
  <r>
    <s v="2024-07-18"/>
    <x v="0"/>
    <x v="4"/>
    <s v="DOT"/>
    <n v="854905651702.60999"/>
    <n v="11910.47"/>
    <n v="4163484178.98"/>
    <n v="9153938"/>
    <n v="12981931"/>
    <n v="13001350"/>
    <n v="28.3"/>
    <n v="-0.34"/>
    <n v="16.09"/>
    <n v="28.45"/>
    <n v="22"/>
    <x v="0"/>
    <x v="4"/>
    <x v="3"/>
    <x v="5"/>
    <x v="1"/>
    <n v="2074"/>
    <n v="56.01"/>
    <n v="24.47"/>
    <n v="21.62"/>
    <n v="57.73"/>
  </r>
  <r>
    <s v="2024-09-04"/>
    <x v="11"/>
    <x v="6"/>
    <s v="DOGE"/>
    <n v="121025795143.50999"/>
    <n v="23078.48"/>
    <n v="33861608193.830002"/>
    <n v="4651207"/>
    <n v="5059036"/>
    <n v="5119464"/>
    <n v="15.87"/>
    <n v="-1.04"/>
    <n v="-16.77"/>
    <n v="23.22"/>
    <n v="85"/>
    <x v="0"/>
    <x v="2"/>
    <x v="4"/>
    <x v="7"/>
    <x v="0"/>
    <n v="45166"/>
    <n v="67.25"/>
    <n v="74.39"/>
    <n v="13.14"/>
    <n v="85.44"/>
  </r>
  <r>
    <s v="2024-03-10"/>
    <x v="9"/>
    <x v="4"/>
    <s v="DOT"/>
    <n v="203963645175.48999"/>
    <n v="6349.91"/>
    <n v="44301623371.620003"/>
    <n v="1030728"/>
    <n v="5352425"/>
    <n v="6147545"/>
    <n v="16.57"/>
    <n v="0.43"/>
    <n v="-12.59"/>
    <n v="-33.79"/>
    <n v="31"/>
    <x v="3"/>
    <x v="2"/>
    <x v="4"/>
    <x v="6"/>
    <x v="1"/>
    <n v="27578"/>
    <n v="15.98"/>
    <n v="89.46"/>
    <n v="78.33"/>
    <n v="98.93"/>
  </r>
  <r>
    <s v="2024-05-05"/>
    <x v="6"/>
    <x v="3"/>
    <s v="SOL"/>
    <n v="727864976382.90002"/>
    <n v="58844.74"/>
    <n v="29953332797.580002"/>
    <n v="11727626"/>
    <n v="16611774"/>
    <n v="16890949"/>
    <n v="25.79"/>
    <n v="-4.47"/>
    <n v="4.1500000000000004"/>
    <n v="5.01"/>
    <n v="191"/>
    <x v="4"/>
    <x v="2"/>
    <x v="2"/>
    <x v="9"/>
    <x v="1"/>
    <n v="19795"/>
    <n v="63.25"/>
    <n v="62.76"/>
    <n v="26.21"/>
    <n v="33.340000000000003"/>
  </r>
  <r>
    <s v="2024-10-07"/>
    <x v="10"/>
    <x v="0"/>
    <s v="LTC"/>
    <n v="676273764538.48999"/>
    <n v="37564.629999999997"/>
    <n v="20388418326.049999"/>
    <n v="6241733"/>
    <n v="10901035"/>
    <n v="11881128"/>
    <n v="47.55"/>
    <n v="-0.19"/>
    <n v="16.71"/>
    <n v="15.44"/>
    <n v="138"/>
    <x v="2"/>
    <x v="3"/>
    <x v="2"/>
    <x v="1"/>
    <x v="0"/>
    <n v="35592"/>
    <n v="34.4"/>
    <n v="76.13"/>
    <n v="66.58"/>
    <n v="55.49"/>
  </r>
  <r>
    <s v="2024-12-02"/>
    <x v="4"/>
    <x v="1"/>
    <s v="BNB"/>
    <n v="510673907520.40997"/>
    <n v="65348.98"/>
    <n v="3306009672.5799999"/>
    <n v="15563144"/>
    <n v="16990348"/>
    <n v="17000484"/>
    <n v="29.78"/>
    <n v="-3.14"/>
    <n v="3.62"/>
    <n v="-1.18"/>
    <n v="140"/>
    <x v="2"/>
    <x v="4"/>
    <x v="3"/>
    <x v="6"/>
    <x v="1"/>
    <n v="31740"/>
    <n v="96.41"/>
    <n v="40.69"/>
    <n v="26.32"/>
    <n v="92.63"/>
  </r>
  <r>
    <s v="2024-08-13"/>
    <x v="5"/>
    <x v="7"/>
    <s v="AVAX"/>
    <n v="195178428654.45999"/>
    <n v="21625.85"/>
    <n v="12326293612.790001"/>
    <n v="1563437"/>
    <n v="2467383"/>
    <n v="2589157"/>
    <n v="11.68"/>
    <n v="-3.94"/>
    <n v="11.84"/>
    <n v="30.18"/>
    <n v="93"/>
    <x v="2"/>
    <x v="4"/>
    <x v="1"/>
    <x v="2"/>
    <x v="1"/>
    <n v="47641"/>
    <n v="18.25"/>
    <n v="76.790000000000006"/>
    <n v="81.28"/>
    <n v="69.569999999999993"/>
  </r>
  <r>
    <s v="2024-12-05"/>
    <x v="4"/>
    <x v="9"/>
    <s v="BTC"/>
    <n v="717697117460.51001"/>
    <n v="65838.02"/>
    <n v="26395737132.939999"/>
    <n v="3693499"/>
    <n v="8232928"/>
    <n v="8292786"/>
    <n v="32.57"/>
    <n v="-0.53"/>
    <n v="4.42"/>
    <n v="-23.71"/>
    <n v="38"/>
    <x v="2"/>
    <x v="2"/>
    <x v="4"/>
    <x v="7"/>
    <x v="0"/>
    <n v="56141"/>
    <n v="27.17"/>
    <n v="64.63"/>
    <n v="95.31"/>
    <n v="60.01"/>
  </r>
  <r>
    <s v="2024-10-12"/>
    <x v="10"/>
    <x v="0"/>
    <s v="LTC"/>
    <n v="206806086102.32999"/>
    <n v="9954.98"/>
    <n v="20272690003.959999"/>
    <n v="14799198"/>
    <n v="16021976"/>
    <n v="16798180"/>
    <n v="47.67"/>
    <n v="-0.89"/>
    <n v="-6.43"/>
    <n v="17.649999999999999"/>
    <n v="21"/>
    <x v="0"/>
    <x v="3"/>
    <x v="2"/>
    <x v="10"/>
    <x v="0"/>
    <n v="17980"/>
    <n v="19.25"/>
    <n v="43.34"/>
    <n v="34.85"/>
    <n v="96.99"/>
  </r>
  <r>
    <s v="2024-11-17"/>
    <x v="3"/>
    <x v="0"/>
    <s v="LTC"/>
    <n v="93007430728.149994"/>
    <n v="31768.54"/>
    <n v="49302374397"/>
    <n v="11807309"/>
    <n v="15019247"/>
    <n v="15929877"/>
    <n v="14.1"/>
    <n v="4.25"/>
    <n v="-0.66"/>
    <n v="30.61"/>
    <n v="166"/>
    <x v="4"/>
    <x v="4"/>
    <x v="0"/>
    <x v="9"/>
    <x v="0"/>
    <n v="62857"/>
    <n v="52"/>
    <n v="36.69"/>
    <n v="24.42"/>
    <n v="32.950000000000003"/>
  </r>
  <r>
    <s v="2024-09-19"/>
    <x v="11"/>
    <x v="3"/>
    <s v="SOL"/>
    <n v="854534593662.38"/>
    <n v="58617.24"/>
    <n v="44891139361.660004"/>
    <n v="12428474"/>
    <n v="14982289"/>
    <n v="15027121"/>
    <n v="23.96"/>
    <n v="1.71"/>
    <n v="15.91"/>
    <n v="-13.65"/>
    <n v="67"/>
    <x v="4"/>
    <x v="1"/>
    <x v="3"/>
    <x v="9"/>
    <x v="1"/>
    <n v="45412"/>
    <n v="85.59"/>
    <n v="37.799999999999997"/>
    <n v="69.63"/>
    <n v="57.02"/>
  </r>
  <r>
    <s v="2024-08-25"/>
    <x v="5"/>
    <x v="5"/>
    <s v="XRP"/>
    <n v="268246387506"/>
    <n v="25200.3"/>
    <n v="9092695708.0599995"/>
    <n v="15700852"/>
    <n v="16835730"/>
    <n v="17706453"/>
    <n v="33.770000000000003"/>
    <n v="4.37"/>
    <n v="-0.66"/>
    <n v="1.61"/>
    <n v="17"/>
    <x v="3"/>
    <x v="0"/>
    <x v="0"/>
    <x v="13"/>
    <x v="2"/>
    <n v="27655"/>
    <n v="68.3"/>
    <n v="75.31"/>
    <n v="93.34"/>
    <n v="88.11"/>
  </r>
  <r>
    <s v="2024-09-03"/>
    <x v="11"/>
    <x v="7"/>
    <s v="AVAX"/>
    <n v="178278559313.39999"/>
    <n v="55063.72"/>
    <n v="32286337066.709999"/>
    <n v="6499231"/>
    <n v="7860818"/>
    <n v="8377982"/>
    <n v="27.81"/>
    <n v="3.49"/>
    <n v="-19.850000000000001"/>
    <n v="37.520000000000003"/>
    <n v="156"/>
    <x v="3"/>
    <x v="0"/>
    <x v="1"/>
    <x v="6"/>
    <x v="1"/>
    <n v="35732"/>
    <n v="15.39"/>
    <n v="59.57"/>
    <n v="99.14"/>
    <n v="80.23"/>
  </r>
  <r>
    <s v="2024-03-18"/>
    <x v="9"/>
    <x v="9"/>
    <s v="BTC"/>
    <n v="210852931731.75"/>
    <n v="11491.96"/>
    <n v="20739140102.279999"/>
    <n v="13912440"/>
    <n v="16465192"/>
    <n v="16470700"/>
    <n v="26.96"/>
    <n v="-1.86"/>
    <n v="-1.32"/>
    <n v="36.51"/>
    <n v="187"/>
    <x v="4"/>
    <x v="2"/>
    <x v="4"/>
    <x v="12"/>
    <x v="0"/>
    <n v="38831"/>
    <n v="43.37"/>
    <n v="60.92"/>
    <n v="44.39"/>
    <n v="37.61"/>
  </r>
  <r>
    <s v="2024-10-11"/>
    <x v="10"/>
    <x v="3"/>
    <s v="SOL"/>
    <n v="886875837028.34998"/>
    <n v="65275.040000000001"/>
    <n v="35022043582.199997"/>
    <n v="13255999"/>
    <n v="16326445"/>
    <n v="17056650"/>
    <n v="8.67"/>
    <n v="3.36"/>
    <n v="16.3"/>
    <n v="-24.24"/>
    <n v="133"/>
    <x v="4"/>
    <x v="3"/>
    <x v="3"/>
    <x v="8"/>
    <x v="1"/>
    <n v="51414"/>
    <n v="17.149999999999999"/>
    <n v="83.67"/>
    <n v="21.41"/>
    <n v="38.49"/>
  </r>
  <r>
    <s v="2024-12-26"/>
    <x v="4"/>
    <x v="6"/>
    <s v="DOGE"/>
    <n v="295923975366.53998"/>
    <n v="2082.81"/>
    <n v="44625774242.68"/>
    <n v="3778581"/>
    <n v="4552194"/>
    <n v="5002308"/>
    <n v="15.67"/>
    <n v="3.61"/>
    <n v="14.66"/>
    <n v="24.8"/>
    <n v="134"/>
    <x v="4"/>
    <x v="0"/>
    <x v="0"/>
    <x v="4"/>
    <x v="0"/>
    <n v="29656"/>
    <n v="39.840000000000003"/>
    <n v="66.03"/>
    <n v="82.56"/>
    <n v="59.46"/>
  </r>
  <r>
    <s v="2024-06-28"/>
    <x v="7"/>
    <x v="6"/>
    <s v="DOGE"/>
    <n v="383509077893.16998"/>
    <n v="28900.080000000002"/>
    <n v="3318608112.3699999"/>
    <n v="1527557"/>
    <n v="6290237"/>
    <n v="7069101"/>
    <n v="4.88"/>
    <n v="-0.37"/>
    <n v="-15.85"/>
    <n v="29.94"/>
    <n v="97"/>
    <x v="0"/>
    <x v="0"/>
    <x v="0"/>
    <x v="12"/>
    <x v="0"/>
    <n v="46764"/>
    <n v="72.56"/>
    <n v="29.3"/>
    <n v="24.98"/>
    <n v="78.92"/>
  </r>
  <r>
    <s v="2024-06-06"/>
    <x v="7"/>
    <x v="7"/>
    <s v="AVAX"/>
    <n v="820303820700.01001"/>
    <n v="19003.95"/>
    <n v="27207663891.220001"/>
    <n v="18314654"/>
    <n v="21756093"/>
    <n v="21781338"/>
    <n v="57.71"/>
    <n v="3.41"/>
    <n v="-14.04"/>
    <n v="37.21"/>
    <n v="40"/>
    <x v="0"/>
    <x v="3"/>
    <x v="3"/>
    <x v="11"/>
    <x v="1"/>
    <n v="63660"/>
    <n v="35.74"/>
    <n v="88.67"/>
    <n v="97.58"/>
    <n v="28.34"/>
  </r>
  <r>
    <s v="2024-07-24"/>
    <x v="0"/>
    <x v="5"/>
    <s v="XRP"/>
    <n v="278834379718.65997"/>
    <n v="19309.650000000001"/>
    <n v="12253667748.120001"/>
    <n v="4926125"/>
    <n v="9402117"/>
    <n v="10209417"/>
    <n v="2.56"/>
    <n v="2.75"/>
    <n v="-15.91"/>
    <n v="25.2"/>
    <n v="88"/>
    <x v="0"/>
    <x v="3"/>
    <x v="0"/>
    <x v="12"/>
    <x v="2"/>
    <n v="63684"/>
    <n v="85.89"/>
    <n v="55.11"/>
    <n v="15.57"/>
    <n v="71.349999999999994"/>
  </r>
  <r>
    <s v="2024-06-09"/>
    <x v="7"/>
    <x v="0"/>
    <s v="LTC"/>
    <n v="642286836996.22998"/>
    <n v="37577.61"/>
    <n v="16629059013.57"/>
    <n v="11433199"/>
    <n v="13589024"/>
    <n v="14475176"/>
    <n v="37.56"/>
    <n v="-2.15"/>
    <n v="-3.76"/>
    <n v="-31.85"/>
    <n v="58"/>
    <x v="2"/>
    <x v="3"/>
    <x v="0"/>
    <x v="2"/>
    <x v="0"/>
    <n v="2547"/>
    <n v="62.16"/>
    <n v="54.83"/>
    <n v="17.09"/>
    <n v="11.05"/>
  </r>
  <r>
    <s v="2024-01-25"/>
    <x v="2"/>
    <x v="7"/>
    <s v="AVAX"/>
    <n v="298423683503.23999"/>
    <n v="61034.64"/>
    <n v="48683240757.849998"/>
    <n v="17223845"/>
    <n v="19063916"/>
    <n v="19351007"/>
    <n v="19.440000000000001"/>
    <n v="-0.2"/>
    <n v="11.14"/>
    <n v="-11.92"/>
    <n v="68"/>
    <x v="0"/>
    <x v="3"/>
    <x v="4"/>
    <x v="4"/>
    <x v="1"/>
    <n v="59056"/>
    <n v="99.93"/>
    <n v="93.63"/>
    <n v="25.44"/>
    <n v="31.37"/>
  </r>
  <r>
    <s v="2024-02-22"/>
    <x v="1"/>
    <x v="0"/>
    <s v="LTC"/>
    <n v="186355153608.25"/>
    <n v="59736.88"/>
    <n v="45095057493.75"/>
    <n v="15989799"/>
    <n v="20975972"/>
    <n v="21061325"/>
    <n v="33.86"/>
    <n v="3.43"/>
    <n v="-13.45"/>
    <n v="-39.729999999999997"/>
    <n v="143"/>
    <x v="2"/>
    <x v="2"/>
    <x v="2"/>
    <x v="9"/>
    <x v="0"/>
    <n v="34635"/>
    <n v="57.05"/>
    <n v="95.62"/>
    <n v="54.14"/>
    <n v="55.12"/>
  </r>
  <r>
    <s v="2024-04-05"/>
    <x v="8"/>
    <x v="4"/>
    <s v="DOT"/>
    <n v="691154814775.45996"/>
    <n v="12106.31"/>
    <n v="30404793428.75"/>
    <n v="17229690"/>
    <n v="21703752"/>
    <n v="22446115"/>
    <n v="58.68"/>
    <n v="4.0599999999999996"/>
    <n v="11.14"/>
    <n v="-29.45"/>
    <n v="101"/>
    <x v="0"/>
    <x v="3"/>
    <x v="1"/>
    <x v="6"/>
    <x v="1"/>
    <n v="46110"/>
    <n v="60.2"/>
    <n v="99.37"/>
    <n v="56.45"/>
    <n v="85.22"/>
  </r>
  <r>
    <s v="2024-10-13"/>
    <x v="10"/>
    <x v="5"/>
    <s v="XRP"/>
    <n v="504288000013.85999"/>
    <n v="29665.41"/>
    <n v="19913546582.119999"/>
    <n v="3939048"/>
    <n v="4782775"/>
    <n v="4818687"/>
    <n v="3.61"/>
    <n v="-2.93"/>
    <n v="-4.26"/>
    <n v="-1.74"/>
    <n v="196"/>
    <x v="3"/>
    <x v="0"/>
    <x v="1"/>
    <x v="2"/>
    <x v="2"/>
    <n v="42935"/>
    <n v="40.369999999999997"/>
    <n v="65.98"/>
    <n v="54.56"/>
    <n v="92.86"/>
  </r>
  <r>
    <s v="2024-11-30"/>
    <x v="3"/>
    <x v="9"/>
    <s v="BTC"/>
    <n v="341508622592.77002"/>
    <n v="61464.83"/>
    <n v="9238776405.6599998"/>
    <n v="9490448"/>
    <n v="10487993"/>
    <n v="10676080"/>
    <n v="12.7"/>
    <n v="-1.74"/>
    <n v="-17.87"/>
    <n v="-10.98"/>
    <n v="177"/>
    <x v="1"/>
    <x v="0"/>
    <x v="3"/>
    <x v="3"/>
    <x v="0"/>
    <n v="22919"/>
    <n v="73.42"/>
    <n v="93.85"/>
    <n v="82.07"/>
    <n v="96.19"/>
  </r>
  <r>
    <s v="2024-09-12"/>
    <x v="11"/>
    <x v="0"/>
    <s v="LTC"/>
    <n v="331730446546.34998"/>
    <n v="37475.599999999999"/>
    <n v="42803434264.480003"/>
    <n v="9496440"/>
    <n v="13595736"/>
    <n v="14494426"/>
    <n v="8.3800000000000008"/>
    <n v="-3.94"/>
    <n v="9.1999999999999993"/>
    <n v="38.15"/>
    <n v="109"/>
    <x v="3"/>
    <x v="3"/>
    <x v="3"/>
    <x v="0"/>
    <x v="0"/>
    <n v="59848"/>
    <n v="10.1"/>
    <n v="88.85"/>
    <n v="60.94"/>
    <n v="51.2"/>
  </r>
  <r>
    <s v="2024-10-14"/>
    <x v="10"/>
    <x v="0"/>
    <s v="LTC"/>
    <n v="802815634323.27002"/>
    <n v="50847.33"/>
    <n v="24164272815.049999"/>
    <n v="7083391"/>
    <n v="7570242"/>
    <n v="7956837"/>
    <n v="1.88"/>
    <n v="2.71"/>
    <n v="-5.29"/>
    <n v="-16.149999999999999"/>
    <n v="96"/>
    <x v="3"/>
    <x v="1"/>
    <x v="3"/>
    <x v="13"/>
    <x v="0"/>
    <n v="3133"/>
    <n v="48.64"/>
    <n v="83.48"/>
    <n v="65.17"/>
    <n v="63.44"/>
  </r>
  <r>
    <s v="2024-03-09"/>
    <x v="9"/>
    <x v="3"/>
    <s v="SOL"/>
    <n v="106963879490.57001"/>
    <n v="24034.880000000001"/>
    <n v="2083496320.45"/>
    <n v="15371898"/>
    <n v="15769603"/>
    <n v="16480637"/>
    <n v="22.06"/>
    <n v="0.68"/>
    <n v="-8.91"/>
    <n v="-0.57999999999999996"/>
    <n v="49"/>
    <x v="2"/>
    <x v="4"/>
    <x v="4"/>
    <x v="12"/>
    <x v="1"/>
    <n v="56210"/>
    <n v="70.92"/>
    <n v="95.01"/>
    <n v="20.56"/>
    <n v="43.69"/>
  </r>
  <r>
    <s v="2024-08-28"/>
    <x v="5"/>
    <x v="0"/>
    <s v="LTC"/>
    <n v="488486146407.96997"/>
    <n v="35209.160000000003"/>
    <n v="31115611957.810001"/>
    <n v="1411130"/>
    <n v="2758589"/>
    <n v="3273083"/>
    <n v="2.44"/>
    <n v="-4.79"/>
    <n v="-5.46"/>
    <n v="-1.1599999999999999"/>
    <n v="35"/>
    <x v="4"/>
    <x v="0"/>
    <x v="0"/>
    <x v="5"/>
    <x v="0"/>
    <n v="10281"/>
    <n v="63.18"/>
    <n v="48.41"/>
    <n v="54.54"/>
    <n v="28.6"/>
  </r>
  <r>
    <s v="2024-09-25"/>
    <x v="11"/>
    <x v="5"/>
    <s v="XRP"/>
    <n v="714412638602.30005"/>
    <n v="51393.72"/>
    <n v="1413855232.52"/>
    <n v="12288789"/>
    <n v="16887808"/>
    <n v="17852195"/>
    <n v="58.03"/>
    <n v="-0.73"/>
    <n v="-10.23"/>
    <n v="-31.72"/>
    <n v="100"/>
    <x v="4"/>
    <x v="2"/>
    <x v="1"/>
    <x v="11"/>
    <x v="2"/>
    <n v="45172"/>
    <n v="33.46"/>
    <n v="82.05"/>
    <n v="39.96"/>
    <n v="36.53"/>
  </r>
  <r>
    <s v="2024-03-19"/>
    <x v="9"/>
    <x v="1"/>
    <s v="BNB"/>
    <n v="861432648060.60999"/>
    <n v="48779.96"/>
    <n v="11324848537.58"/>
    <n v="5080088"/>
    <n v="7306764"/>
    <n v="7745356"/>
    <n v="25"/>
    <n v="4.47"/>
    <n v="6.33"/>
    <n v="-17.809999999999999"/>
    <n v="151"/>
    <x v="3"/>
    <x v="1"/>
    <x v="3"/>
    <x v="9"/>
    <x v="1"/>
    <n v="51500"/>
    <n v="79.39"/>
    <n v="65.73"/>
    <n v="43.47"/>
    <n v="82.94"/>
  </r>
  <r>
    <s v="2024-10-13"/>
    <x v="10"/>
    <x v="4"/>
    <s v="DOT"/>
    <n v="678854353387.39001"/>
    <n v="14247.64"/>
    <n v="9111602002.9899998"/>
    <n v="5139382"/>
    <n v="10060988"/>
    <n v="10713311"/>
    <n v="22.96"/>
    <n v="-3.3"/>
    <n v="14.11"/>
    <n v="-7.97"/>
    <n v="152"/>
    <x v="4"/>
    <x v="0"/>
    <x v="3"/>
    <x v="2"/>
    <x v="1"/>
    <n v="58227"/>
    <n v="42.66"/>
    <n v="56.4"/>
    <n v="59.3"/>
    <n v="90.04"/>
  </r>
  <r>
    <s v="2024-06-15"/>
    <x v="7"/>
    <x v="7"/>
    <s v="AVAX"/>
    <n v="660283663712"/>
    <n v="22452.71"/>
    <n v="12242617723.77"/>
    <n v="7189139"/>
    <n v="11211623"/>
    <n v="11810182"/>
    <n v="25.69"/>
    <n v="-2.83"/>
    <n v="-17.829999999999998"/>
    <n v="-11.91"/>
    <n v="64"/>
    <x v="3"/>
    <x v="4"/>
    <x v="0"/>
    <x v="12"/>
    <x v="1"/>
    <n v="46872"/>
    <n v="79.78"/>
    <n v="67.36"/>
    <n v="24.94"/>
    <n v="39.799999999999997"/>
  </r>
  <r>
    <s v="2024-01-16"/>
    <x v="2"/>
    <x v="4"/>
    <s v="DOT"/>
    <n v="871613847255.78003"/>
    <n v="58846.67"/>
    <n v="38839586104.709999"/>
    <n v="11576669"/>
    <n v="13719547"/>
    <n v="14180822"/>
    <n v="55.25"/>
    <n v="-1.78"/>
    <n v="-12.2"/>
    <n v="11.54"/>
    <n v="130"/>
    <x v="3"/>
    <x v="2"/>
    <x v="4"/>
    <x v="6"/>
    <x v="1"/>
    <n v="42293"/>
    <n v="90.16"/>
    <n v="30.41"/>
    <n v="56.06"/>
    <n v="33.880000000000003"/>
  </r>
  <r>
    <s v="2024-09-29"/>
    <x v="11"/>
    <x v="4"/>
    <s v="DOT"/>
    <n v="48384655383"/>
    <n v="67265.94"/>
    <n v="33213202745.02"/>
    <n v="4537278"/>
    <n v="6914825"/>
    <n v="7393015"/>
    <n v="14.45"/>
    <n v="-2.15"/>
    <n v="-15.66"/>
    <n v="22.37"/>
    <n v="142"/>
    <x v="3"/>
    <x v="2"/>
    <x v="2"/>
    <x v="13"/>
    <x v="1"/>
    <n v="61835"/>
    <n v="73.19"/>
    <n v="72.989999999999995"/>
    <n v="70.95"/>
    <n v="40.54"/>
  </r>
  <r>
    <s v="2024-04-11"/>
    <x v="8"/>
    <x v="7"/>
    <s v="AVAX"/>
    <n v="222362598126.13"/>
    <n v="22394.18"/>
    <n v="35360777499.459999"/>
    <n v="5045818"/>
    <n v="9495324"/>
    <n v="10421631"/>
    <n v="33.57"/>
    <n v="-4.54"/>
    <n v="9.44"/>
    <n v="-21.92"/>
    <n v="44"/>
    <x v="2"/>
    <x v="4"/>
    <x v="0"/>
    <x v="6"/>
    <x v="1"/>
    <n v="45071"/>
    <n v="98.71"/>
    <n v="38.18"/>
    <n v="38.01"/>
    <n v="68.48"/>
  </r>
  <r>
    <s v="2024-06-08"/>
    <x v="7"/>
    <x v="9"/>
    <s v="BTC"/>
    <n v="665671875955.79004"/>
    <n v="2863.73"/>
    <n v="8465854087.7399998"/>
    <n v="7795103"/>
    <n v="12410520"/>
    <n v="12703951"/>
    <n v="4.83"/>
    <n v="-4.8099999999999996"/>
    <n v="-16.329999999999998"/>
    <n v="2.5099999999999998"/>
    <n v="163"/>
    <x v="2"/>
    <x v="3"/>
    <x v="4"/>
    <x v="2"/>
    <x v="0"/>
    <n v="53508"/>
    <n v="30.52"/>
    <n v="79.739999999999995"/>
    <n v="44.57"/>
    <n v="25.71"/>
  </r>
  <r>
    <s v="2024-07-01"/>
    <x v="0"/>
    <x v="3"/>
    <s v="SOL"/>
    <n v="147384650726.04999"/>
    <n v="40387.550000000003"/>
    <n v="27705353162.669998"/>
    <n v="10616296"/>
    <n v="14676085"/>
    <n v="15078813"/>
    <n v="39.049999999999997"/>
    <n v="2.83"/>
    <n v="-13.84"/>
    <n v="-0.83"/>
    <n v="12"/>
    <x v="0"/>
    <x v="4"/>
    <x v="2"/>
    <x v="8"/>
    <x v="1"/>
    <n v="41530"/>
    <n v="75.400000000000006"/>
    <n v="27.95"/>
    <n v="76.760000000000005"/>
    <n v="32.68"/>
  </r>
  <r>
    <s v="2024-01-12"/>
    <x v="2"/>
    <x v="4"/>
    <s v="DOT"/>
    <n v="741828916151.59998"/>
    <n v="57485.78"/>
    <n v="9191334413.0400009"/>
    <n v="11326330"/>
    <n v="16289559"/>
    <n v="17094990"/>
    <n v="31.38"/>
    <n v="2.82"/>
    <n v="-18.95"/>
    <n v="33"/>
    <n v="179"/>
    <x v="0"/>
    <x v="1"/>
    <x v="4"/>
    <x v="0"/>
    <x v="1"/>
    <n v="5394"/>
    <n v="37.43"/>
    <n v="44.86"/>
    <n v="41.13"/>
    <n v="24.2"/>
  </r>
  <r>
    <s v="2024-02-21"/>
    <x v="1"/>
    <x v="5"/>
    <s v="XRP"/>
    <n v="591121035214.42004"/>
    <n v="30678.89"/>
    <n v="32138196724.099998"/>
    <n v="14420974"/>
    <n v="15835898"/>
    <n v="15862955"/>
    <n v="44.28"/>
    <n v="-4.47"/>
    <n v="-8.64"/>
    <n v="36.25"/>
    <n v="145"/>
    <x v="3"/>
    <x v="3"/>
    <x v="1"/>
    <x v="8"/>
    <x v="2"/>
    <n v="50035"/>
    <n v="22.17"/>
    <n v="36.200000000000003"/>
    <n v="48.63"/>
    <n v="62.27"/>
  </r>
  <r>
    <s v="2024-09-12"/>
    <x v="11"/>
    <x v="7"/>
    <s v="AVAX"/>
    <n v="649832121926.40002"/>
    <n v="12224.72"/>
    <n v="4773624565.1099997"/>
    <n v="14899239"/>
    <n v="17608179"/>
    <n v="17807947"/>
    <n v="19.79"/>
    <n v="3.11"/>
    <n v="-4.87"/>
    <n v="14.33"/>
    <n v="119"/>
    <x v="2"/>
    <x v="1"/>
    <x v="2"/>
    <x v="11"/>
    <x v="1"/>
    <n v="8663"/>
    <n v="23.79"/>
    <n v="47.6"/>
    <n v="33.840000000000003"/>
    <n v="73.83"/>
  </r>
  <r>
    <s v="2024-04-22"/>
    <x v="8"/>
    <x v="7"/>
    <s v="AVAX"/>
    <n v="752562295045.75"/>
    <n v="12499.38"/>
    <n v="39939573448.410004"/>
    <n v="17879622"/>
    <n v="18696871"/>
    <n v="18785623"/>
    <n v="41.33"/>
    <n v="-3.89"/>
    <n v="-19.18"/>
    <n v="-26"/>
    <n v="10"/>
    <x v="0"/>
    <x v="1"/>
    <x v="1"/>
    <x v="9"/>
    <x v="1"/>
    <n v="32107"/>
    <n v="20.67"/>
    <n v="39.729999999999997"/>
    <n v="71.819999999999993"/>
    <n v="93.2"/>
  </r>
  <r>
    <s v="2024-08-31"/>
    <x v="5"/>
    <x v="8"/>
    <s v="ETH"/>
    <n v="343977056811.13"/>
    <n v="27992.94"/>
    <n v="46016769192.279999"/>
    <n v="10292323"/>
    <n v="12741009"/>
    <n v="13704429"/>
    <n v="22.12"/>
    <n v="3.36"/>
    <n v="-3.07"/>
    <n v="33.979999999999997"/>
    <n v="48"/>
    <x v="3"/>
    <x v="4"/>
    <x v="4"/>
    <x v="3"/>
    <x v="1"/>
    <n v="20867"/>
    <n v="32.380000000000003"/>
    <n v="99.97"/>
    <n v="30.55"/>
    <n v="31.45"/>
  </r>
  <r>
    <s v="2024-10-13"/>
    <x v="10"/>
    <x v="5"/>
    <s v="XRP"/>
    <n v="360403564038.15997"/>
    <n v="24001.9"/>
    <n v="3454524306.6300001"/>
    <n v="18306604"/>
    <n v="20421069"/>
    <n v="21140020"/>
    <n v="39.14"/>
    <n v="4.22"/>
    <n v="-9.67"/>
    <n v="-12.15"/>
    <n v="41"/>
    <x v="0"/>
    <x v="0"/>
    <x v="1"/>
    <x v="11"/>
    <x v="2"/>
    <n v="38764"/>
    <n v="66.900000000000006"/>
    <n v="89.69"/>
    <n v="38.06"/>
    <n v="51.93"/>
  </r>
  <r>
    <s v="2024-12-24"/>
    <x v="4"/>
    <x v="7"/>
    <s v="AVAX"/>
    <n v="723463582209.15002"/>
    <n v="1176.79"/>
    <n v="25910294093.360001"/>
    <n v="9488008"/>
    <n v="10972808"/>
    <n v="11437225"/>
    <n v="23.26"/>
    <n v="-3.42"/>
    <n v="-17.309999999999999"/>
    <n v="31.56"/>
    <n v="177"/>
    <x v="3"/>
    <x v="1"/>
    <x v="0"/>
    <x v="7"/>
    <x v="1"/>
    <n v="48683"/>
    <n v="54.8"/>
    <n v="59.5"/>
    <n v="48.4"/>
    <n v="41.2"/>
  </r>
  <r>
    <s v="2024-11-24"/>
    <x v="3"/>
    <x v="4"/>
    <s v="DOT"/>
    <n v="742558519054.05005"/>
    <n v="31366.66"/>
    <n v="3083246412.1999998"/>
    <n v="15746405"/>
    <n v="16217278"/>
    <n v="16546148"/>
    <n v="30.52"/>
    <n v="-4.96"/>
    <n v="7.59"/>
    <n v="-28.81"/>
    <n v="23"/>
    <x v="0"/>
    <x v="1"/>
    <x v="2"/>
    <x v="12"/>
    <x v="1"/>
    <n v="24832"/>
    <n v="39.89"/>
    <n v="54.05"/>
    <n v="18.46"/>
    <n v="80.05"/>
  </r>
  <r>
    <s v="2024-07-17"/>
    <x v="0"/>
    <x v="4"/>
    <s v="DOT"/>
    <n v="12925413342.549999"/>
    <n v="44465.71"/>
    <n v="12479773258.73"/>
    <n v="14155579"/>
    <n v="18172092"/>
    <n v="19142638"/>
    <n v="56.99"/>
    <n v="-3.2"/>
    <n v="-14.5"/>
    <n v="-27.16"/>
    <n v="59"/>
    <x v="1"/>
    <x v="4"/>
    <x v="1"/>
    <x v="0"/>
    <x v="1"/>
    <n v="41568"/>
    <n v="44.82"/>
    <n v="20.28"/>
    <n v="59.68"/>
    <n v="64.790000000000006"/>
  </r>
  <r>
    <s v="2024-07-21"/>
    <x v="0"/>
    <x v="7"/>
    <s v="AVAX"/>
    <n v="112133611708.42999"/>
    <n v="45437.91"/>
    <n v="30648712660.619999"/>
    <n v="4275677"/>
    <n v="4678537"/>
    <n v="5015806"/>
    <n v="50.86"/>
    <n v="0"/>
    <n v="-18.170000000000002"/>
    <n v="-37.17"/>
    <n v="37"/>
    <x v="4"/>
    <x v="0"/>
    <x v="1"/>
    <x v="3"/>
    <x v="1"/>
    <n v="6363"/>
    <n v="87.3"/>
    <n v="65.239999999999995"/>
    <n v="55.65"/>
    <n v="46.5"/>
  </r>
  <r>
    <s v="2024-10-27"/>
    <x v="10"/>
    <x v="9"/>
    <s v="BTC"/>
    <n v="593688330434.59998"/>
    <n v="50823.839999999997"/>
    <n v="14312294794.6"/>
    <n v="3384795"/>
    <n v="7999180"/>
    <n v="8003148"/>
    <n v="27.04"/>
    <n v="-3.81"/>
    <n v="-19.850000000000001"/>
    <n v="-5.13"/>
    <n v="70"/>
    <x v="0"/>
    <x v="0"/>
    <x v="2"/>
    <x v="10"/>
    <x v="0"/>
    <n v="7046"/>
    <n v="60.97"/>
    <n v="82.05"/>
    <n v="74.150000000000006"/>
    <n v="36.39"/>
  </r>
  <r>
    <s v="2024-07-29"/>
    <x v="0"/>
    <x v="9"/>
    <s v="BTC"/>
    <n v="643652182804.92004"/>
    <n v="66223.31"/>
    <n v="6430714906.6700001"/>
    <n v="15845175"/>
    <n v="17938735"/>
    <n v="18937326"/>
    <n v="42.34"/>
    <n v="0.86"/>
    <n v="-17.260000000000002"/>
    <n v="-3.63"/>
    <n v="129"/>
    <x v="0"/>
    <x v="4"/>
    <x v="2"/>
    <x v="3"/>
    <x v="0"/>
    <n v="44730"/>
    <n v="86.51"/>
    <n v="62.9"/>
    <n v="40.67"/>
    <n v="46.28"/>
  </r>
  <r>
    <s v="2024-11-13"/>
    <x v="3"/>
    <x v="5"/>
    <s v="XRP"/>
    <n v="132049922997.19"/>
    <n v="32358.91"/>
    <n v="44789990118.32"/>
    <n v="15135003"/>
    <n v="19523567"/>
    <n v="20222161"/>
    <n v="40.450000000000003"/>
    <n v="-2.11"/>
    <n v="-6.14"/>
    <n v="-34.35"/>
    <n v="107"/>
    <x v="1"/>
    <x v="1"/>
    <x v="3"/>
    <x v="12"/>
    <x v="2"/>
    <n v="37971"/>
    <n v="74.540000000000006"/>
    <n v="45.33"/>
    <n v="78.67"/>
    <n v="93.46"/>
  </r>
  <r>
    <s v="2024-02-10"/>
    <x v="1"/>
    <x v="7"/>
    <s v="AVAX"/>
    <n v="453500239925.96002"/>
    <n v="27127.119999999999"/>
    <n v="39740995985.589996"/>
    <n v="3058245"/>
    <n v="7055066"/>
    <n v="7772643"/>
    <n v="46.3"/>
    <n v="0.96"/>
    <n v="-7.94"/>
    <n v="36.58"/>
    <n v="174"/>
    <x v="2"/>
    <x v="3"/>
    <x v="0"/>
    <x v="13"/>
    <x v="1"/>
    <n v="10025"/>
    <n v="21.38"/>
    <n v="59.85"/>
    <n v="69.87"/>
    <n v="56.92"/>
  </r>
  <r>
    <s v="2024-03-15"/>
    <x v="9"/>
    <x v="9"/>
    <s v="BTC"/>
    <n v="329494108386.46002"/>
    <n v="52183.88"/>
    <n v="20252047235.450001"/>
    <n v="11829983"/>
    <n v="14589946"/>
    <n v="15248140"/>
    <n v="19.98"/>
    <n v="-3.47"/>
    <n v="7"/>
    <n v="12.55"/>
    <n v="174"/>
    <x v="2"/>
    <x v="4"/>
    <x v="1"/>
    <x v="3"/>
    <x v="0"/>
    <n v="1815"/>
    <n v="14.15"/>
    <n v="72.58"/>
    <n v="55.9"/>
    <n v="61.36"/>
  </r>
  <r>
    <s v="2024-12-06"/>
    <x v="4"/>
    <x v="5"/>
    <s v="XRP"/>
    <n v="343119892429.64001"/>
    <n v="42287.839999999997"/>
    <n v="38883614880.529999"/>
    <n v="1582702"/>
    <n v="6310125"/>
    <n v="6973331"/>
    <n v="8.61"/>
    <n v="-3.48"/>
    <n v="13.81"/>
    <n v="33.57"/>
    <n v="95"/>
    <x v="4"/>
    <x v="4"/>
    <x v="4"/>
    <x v="5"/>
    <x v="2"/>
    <n v="2410"/>
    <n v="75.44"/>
    <n v="65.36"/>
    <n v="71.27"/>
    <n v="53.43"/>
  </r>
  <r>
    <s v="2024-03-11"/>
    <x v="9"/>
    <x v="8"/>
    <s v="ETH"/>
    <n v="125643682504.35001"/>
    <n v="26111.37"/>
    <n v="43601573277.82"/>
    <n v="12655011"/>
    <n v="13390688"/>
    <n v="14299243"/>
    <n v="20.77"/>
    <n v="2.58"/>
    <n v="6.59"/>
    <n v="-34.89"/>
    <n v="7"/>
    <x v="4"/>
    <x v="3"/>
    <x v="2"/>
    <x v="13"/>
    <x v="1"/>
    <n v="46892"/>
    <n v="79.06"/>
    <n v="77.72"/>
    <n v="66.11"/>
    <n v="11.78"/>
  </r>
  <r>
    <s v="2024-03-07"/>
    <x v="9"/>
    <x v="4"/>
    <s v="DOT"/>
    <n v="293141117953.92999"/>
    <n v="50408.37"/>
    <n v="29433838718.970001"/>
    <n v="17712922"/>
    <n v="17864684"/>
    <n v="18813181"/>
    <n v="30.97"/>
    <n v="2.93"/>
    <n v="1.86"/>
    <n v="-11.06"/>
    <n v="163"/>
    <x v="3"/>
    <x v="4"/>
    <x v="1"/>
    <x v="11"/>
    <x v="1"/>
    <n v="38621"/>
    <n v="72.36"/>
    <n v="96.72"/>
    <n v="19.82"/>
    <n v="51.33"/>
  </r>
  <r>
    <s v="2024-06-02"/>
    <x v="7"/>
    <x v="3"/>
    <s v="SOL"/>
    <n v="373477236397.28003"/>
    <n v="60220.18"/>
    <n v="15866592933.370001"/>
    <n v="5485305"/>
    <n v="7674331"/>
    <n v="8042480"/>
    <n v="51.83"/>
    <n v="-0.21"/>
    <n v="5.63"/>
    <n v="-15.68"/>
    <n v="74"/>
    <x v="1"/>
    <x v="0"/>
    <x v="2"/>
    <x v="9"/>
    <x v="1"/>
    <n v="41464"/>
    <n v="96.11"/>
    <n v="91.09"/>
    <n v="29.62"/>
    <n v="99.46"/>
  </r>
  <r>
    <s v="2024-03-19"/>
    <x v="9"/>
    <x v="3"/>
    <s v="SOL"/>
    <n v="143622803688.98001"/>
    <n v="11366.61"/>
    <n v="22046940921.740002"/>
    <n v="7044617"/>
    <n v="11458169"/>
    <n v="11633632"/>
    <n v="8.58"/>
    <n v="-3.8"/>
    <n v="15.26"/>
    <n v="-11.67"/>
    <n v="57"/>
    <x v="1"/>
    <x v="2"/>
    <x v="0"/>
    <x v="12"/>
    <x v="1"/>
    <n v="51503"/>
    <n v="32.39"/>
    <n v="41.63"/>
    <n v="74.17"/>
    <n v="40.42"/>
  </r>
  <r>
    <s v="2024-12-01"/>
    <x v="4"/>
    <x v="6"/>
    <s v="DOGE"/>
    <n v="593262926418.43994"/>
    <n v="19268.53"/>
    <n v="7101749999.8699999"/>
    <n v="3027877"/>
    <n v="5306674"/>
    <n v="6022971"/>
    <n v="37.49"/>
    <n v="0.95"/>
    <n v="11.91"/>
    <n v="9.1999999999999993"/>
    <n v="12"/>
    <x v="1"/>
    <x v="1"/>
    <x v="3"/>
    <x v="3"/>
    <x v="0"/>
    <n v="17366"/>
    <n v="78.97"/>
    <n v="89.28"/>
    <n v="90.74"/>
    <n v="73.349999999999994"/>
  </r>
  <r>
    <s v="2024-09-30"/>
    <x v="11"/>
    <x v="3"/>
    <s v="SOL"/>
    <n v="256376749296.54999"/>
    <n v="58033.79"/>
    <n v="21536790083.349998"/>
    <n v="12170675"/>
    <n v="16889403"/>
    <n v="17791996"/>
    <n v="27.76"/>
    <n v="-2.4700000000000002"/>
    <n v="11.63"/>
    <n v="14.46"/>
    <n v="87"/>
    <x v="0"/>
    <x v="4"/>
    <x v="3"/>
    <x v="12"/>
    <x v="1"/>
    <n v="5565"/>
    <n v="59.81"/>
    <n v="54.41"/>
    <n v="31.3"/>
    <n v="50.74"/>
  </r>
  <r>
    <s v="2024-05-09"/>
    <x v="6"/>
    <x v="3"/>
    <s v="SOL"/>
    <n v="743641233873.31995"/>
    <n v="2910.41"/>
    <n v="44382481229.870003"/>
    <n v="13278312"/>
    <n v="16155274"/>
    <n v="16610219"/>
    <n v="25.97"/>
    <n v="-3.67"/>
    <n v="12.98"/>
    <n v="-19.86"/>
    <n v="81"/>
    <x v="2"/>
    <x v="4"/>
    <x v="3"/>
    <x v="12"/>
    <x v="1"/>
    <n v="57424"/>
    <n v="33.409999999999997"/>
    <n v="78.42"/>
    <n v="55.73"/>
    <n v="33.340000000000003"/>
  </r>
  <r>
    <s v="2024-03-18"/>
    <x v="9"/>
    <x v="6"/>
    <s v="DOGE"/>
    <n v="206967889092.57999"/>
    <n v="30399.93"/>
    <n v="32276333063.27"/>
    <n v="17769293"/>
    <n v="21819700"/>
    <n v="22490245"/>
    <n v="0.08"/>
    <n v="2.62"/>
    <n v="-1.4"/>
    <n v="30"/>
    <n v="136"/>
    <x v="0"/>
    <x v="1"/>
    <x v="3"/>
    <x v="3"/>
    <x v="0"/>
    <n v="4518"/>
    <n v="65.39"/>
    <n v="86.94"/>
    <n v="63.18"/>
    <n v="50.2"/>
  </r>
  <r>
    <s v="2024-10-26"/>
    <x v="10"/>
    <x v="7"/>
    <s v="AVAX"/>
    <n v="878280784086.69995"/>
    <n v="8225.49"/>
    <n v="27713068727.68"/>
    <n v="4063004"/>
    <n v="8480045"/>
    <n v="8581746"/>
    <n v="50.46"/>
    <n v="3.97"/>
    <n v="16.38"/>
    <n v="-31.81"/>
    <n v="80"/>
    <x v="0"/>
    <x v="2"/>
    <x v="4"/>
    <x v="0"/>
    <x v="1"/>
    <n v="44668"/>
    <n v="21.73"/>
    <n v="81.08"/>
    <n v="52.75"/>
    <n v="25.36"/>
  </r>
  <r>
    <s v="2024-08-22"/>
    <x v="5"/>
    <x v="2"/>
    <s v="ADA"/>
    <n v="394261664594.84998"/>
    <n v="39715.03"/>
    <n v="11312677830.49"/>
    <n v="12246561"/>
    <n v="12668204"/>
    <n v="12875939"/>
    <n v="15.81"/>
    <n v="1.03"/>
    <n v="3.26"/>
    <n v="20.69"/>
    <n v="158"/>
    <x v="1"/>
    <x v="2"/>
    <x v="1"/>
    <x v="9"/>
    <x v="1"/>
    <n v="16128"/>
    <n v="68.41"/>
    <n v="99.28"/>
    <n v="23.58"/>
    <n v="15.53"/>
  </r>
  <r>
    <s v="2024-05-21"/>
    <x v="6"/>
    <x v="2"/>
    <s v="ADA"/>
    <n v="173291147170.07999"/>
    <n v="3348.08"/>
    <n v="10121317335.459999"/>
    <n v="14164286"/>
    <n v="18144431"/>
    <n v="18800854"/>
    <n v="26.39"/>
    <n v="-2.88"/>
    <n v="-19.13"/>
    <n v="22.44"/>
    <n v="199"/>
    <x v="2"/>
    <x v="2"/>
    <x v="4"/>
    <x v="3"/>
    <x v="1"/>
    <n v="14090"/>
    <n v="64.38"/>
    <n v="30.9"/>
    <n v="79.349999999999994"/>
    <n v="63.84"/>
  </r>
  <r>
    <s v="2024-05-06"/>
    <x v="6"/>
    <x v="0"/>
    <s v="LTC"/>
    <n v="15375144713.68"/>
    <n v="19528.79"/>
    <n v="29429446830.389999"/>
    <n v="7796029"/>
    <n v="12282586"/>
    <n v="13148935"/>
    <n v="48.25"/>
    <n v="-0.38"/>
    <n v="-3.05"/>
    <n v="19.88"/>
    <n v="167"/>
    <x v="3"/>
    <x v="1"/>
    <x v="2"/>
    <x v="2"/>
    <x v="0"/>
    <n v="9274"/>
    <n v="83.4"/>
    <n v="95.33"/>
    <n v="75.349999999999994"/>
    <n v="63.08"/>
  </r>
  <r>
    <s v="2024-10-02"/>
    <x v="10"/>
    <x v="3"/>
    <s v="SOL"/>
    <n v="427753209051.40997"/>
    <n v="21772.54"/>
    <n v="528920475.51999998"/>
    <n v="6958256"/>
    <n v="10536788"/>
    <n v="11087735"/>
    <n v="26.76"/>
    <n v="4.63"/>
    <n v="-9"/>
    <n v="-5.81"/>
    <n v="182"/>
    <x v="0"/>
    <x v="3"/>
    <x v="4"/>
    <x v="5"/>
    <x v="1"/>
    <n v="40592"/>
    <n v="16.690000000000001"/>
    <n v="32.270000000000003"/>
    <n v="51.07"/>
    <n v="49.27"/>
  </r>
  <r>
    <s v="2024-05-02"/>
    <x v="6"/>
    <x v="3"/>
    <s v="SOL"/>
    <n v="94768203405.360001"/>
    <n v="55164.24"/>
    <n v="44030059843.480003"/>
    <n v="14033389"/>
    <n v="17510981"/>
    <n v="17986568"/>
    <n v="29.35"/>
    <n v="-1.55"/>
    <n v="14.62"/>
    <n v="18.68"/>
    <n v="32"/>
    <x v="3"/>
    <x v="1"/>
    <x v="3"/>
    <x v="7"/>
    <x v="1"/>
    <n v="58954"/>
    <n v="97.54"/>
    <n v="57.54"/>
    <n v="53.77"/>
    <n v="83.41"/>
  </r>
  <r>
    <s v="2024-06-28"/>
    <x v="7"/>
    <x v="7"/>
    <s v="AVAX"/>
    <n v="341610595997.84003"/>
    <n v="64787.92"/>
    <n v="22466145007.799999"/>
    <n v="15448791"/>
    <n v="15845770"/>
    <n v="15847631"/>
    <n v="2.91"/>
    <n v="3.61"/>
    <n v="2.39"/>
    <n v="-3.18"/>
    <n v="99"/>
    <x v="2"/>
    <x v="4"/>
    <x v="3"/>
    <x v="6"/>
    <x v="1"/>
    <n v="24243"/>
    <n v="19.170000000000002"/>
    <n v="46.02"/>
    <n v="59.1"/>
    <n v="23.16"/>
  </r>
  <r>
    <s v="2024-03-24"/>
    <x v="9"/>
    <x v="5"/>
    <s v="XRP"/>
    <n v="843769660616.54004"/>
    <n v="55587.53"/>
    <n v="26803060494.830002"/>
    <n v="18514288"/>
    <n v="21971804"/>
    <n v="22203741"/>
    <n v="26.93"/>
    <n v="3.19"/>
    <n v="-16.399999999999999"/>
    <n v="1.63"/>
    <n v="93"/>
    <x v="1"/>
    <x v="2"/>
    <x v="1"/>
    <x v="1"/>
    <x v="2"/>
    <n v="63677"/>
    <n v="11.27"/>
    <n v="35.619999999999997"/>
    <n v="53.07"/>
    <n v="47.75"/>
  </r>
  <r>
    <s v="2024-10-25"/>
    <x v="10"/>
    <x v="5"/>
    <s v="XRP"/>
    <n v="350299553254.63"/>
    <n v="67278.2"/>
    <n v="20961031386.990002"/>
    <n v="2883457"/>
    <n v="6042800"/>
    <n v="6126250"/>
    <n v="6.74"/>
    <n v="-1.77"/>
    <n v="15.42"/>
    <n v="0.45"/>
    <n v="108"/>
    <x v="1"/>
    <x v="3"/>
    <x v="1"/>
    <x v="5"/>
    <x v="2"/>
    <n v="42929"/>
    <n v="27.12"/>
    <n v="57.24"/>
    <n v="30.38"/>
    <n v="69.260000000000005"/>
  </r>
  <r>
    <s v="2024-06-13"/>
    <x v="7"/>
    <x v="2"/>
    <s v="ADA"/>
    <n v="478234511500.01001"/>
    <n v="33924.129999999997"/>
    <n v="12785127566.93"/>
    <n v="18635182"/>
    <n v="22973185"/>
    <n v="23662074"/>
    <n v="26.48"/>
    <n v="4.78"/>
    <n v="-8.09"/>
    <n v="-27.78"/>
    <n v="33"/>
    <x v="3"/>
    <x v="3"/>
    <x v="0"/>
    <x v="11"/>
    <x v="1"/>
    <n v="52652"/>
    <n v="81.44"/>
    <n v="45.7"/>
    <n v="91.83"/>
    <n v="90.62"/>
  </r>
  <r>
    <s v="2024-12-28"/>
    <x v="4"/>
    <x v="2"/>
    <s v="ADA"/>
    <n v="216311041274.51001"/>
    <n v="60941.06"/>
    <n v="36770503325.330002"/>
    <n v="9683923"/>
    <n v="12760555"/>
    <n v="13679919"/>
    <n v="17.3"/>
    <n v="-0.63"/>
    <n v="6.06"/>
    <n v="-4.25"/>
    <n v="48"/>
    <x v="0"/>
    <x v="1"/>
    <x v="3"/>
    <x v="6"/>
    <x v="1"/>
    <n v="6626"/>
    <n v="42.19"/>
    <n v="27.29"/>
    <n v="32.31"/>
    <n v="17.18"/>
  </r>
  <r>
    <s v="2024-10-24"/>
    <x v="10"/>
    <x v="2"/>
    <s v="ADA"/>
    <n v="316377321406.06"/>
    <n v="39519.97"/>
    <n v="47135191057.75"/>
    <n v="6929225"/>
    <n v="10722259"/>
    <n v="11444247"/>
    <n v="17.850000000000001"/>
    <n v="-4.78"/>
    <n v="-10.19"/>
    <n v="-31.4"/>
    <n v="177"/>
    <x v="3"/>
    <x v="3"/>
    <x v="2"/>
    <x v="13"/>
    <x v="1"/>
    <n v="9168"/>
    <n v="46.89"/>
    <n v="26.53"/>
    <n v="45.97"/>
    <n v="26.12"/>
  </r>
  <r>
    <s v="2024-09-05"/>
    <x v="11"/>
    <x v="6"/>
    <s v="DOGE"/>
    <n v="306416609814.85999"/>
    <n v="32759.49"/>
    <n v="30441906245.57"/>
    <n v="11015123"/>
    <n v="12873026"/>
    <n v="13335004"/>
    <n v="14.74"/>
    <n v="0.46"/>
    <n v="8.73"/>
    <n v="-17.88"/>
    <n v="113"/>
    <x v="1"/>
    <x v="3"/>
    <x v="2"/>
    <x v="7"/>
    <x v="0"/>
    <n v="31536"/>
    <n v="40.450000000000003"/>
    <n v="63.75"/>
    <n v="20.47"/>
    <n v="73.73"/>
  </r>
  <r>
    <s v="2024-04-28"/>
    <x v="8"/>
    <x v="1"/>
    <s v="BNB"/>
    <n v="755587283099.60999"/>
    <n v="10816.63"/>
    <n v="42152919153"/>
    <n v="14736729"/>
    <n v="18953576"/>
    <n v="19768474"/>
    <n v="11.53"/>
    <n v="-1.72"/>
    <n v="-3.14"/>
    <n v="0.43"/>
    <n v="147"/>
    <x v="4"/>
    <x v="3"/>
    <x v="2"/>
    <x v="5"/>
    <x v="1"/>
    <n v="48552"/>
    <n v="25.91"/>
    <n v="37.619999999999997"/>
    <n v="90.08"/>
    <n v="77.930000000000007"/>
  </r>
  <r>
    <s v="2024-07-21"/>
    <x v="0"/>
    <x v="1"/>
    <s v="BNB"/>
    <n v="140322335467.91"/>
    <n v="53409.93"/>
    <n v="20825673508.360001"/>
    <n v="17519426"/>
    <n v="20125809"/>
    <n v="20745319"/>
    <n v="51.63"/>
    <n v="-2.71"/>
    <n v="-11.68"/>
    <n v="12.53"/>
    <n v="107"/>
    <x v="4"/>
    <x v="3"/>
    <x v="4"/>
    <x v="7"/>
    <x v="1"/>
    <n v="46467"/>
    <n v="51.04"/>
    <n v="45.57"/>
    <n v="10.029999999999999"/>
    <n v="82.46"/>
  </r>
  <r>
    <s v="2024-08-24"/>
    <x v="5"/>
    <x v="7"/>
    <s v="AVAX"/>
    <n v="109883313985.28"/>
    <n v="39450.68"/>
    <n v="33957451358.830002"/>
    <n v="15122839"/>
    <n v="18680982"/>
    <n v="19271461"/>
    <n v="0.14000000000000001"/>
    <n v="4.0999999999999996"/>
    <n v="3.77"/>
    <n v="-23.3"/>
    <n v="74"/>
    <x v="2"/>
    <x v="2"/>
    <x v="4"/>
    <x v="7"/>
    <x v="1"/>
    <n v="41983"/>
    <n v="77.84"/>
    <n v="24.03"/>
    <n v="71.7"/>
    <n v="80.59"/>
  </r>
  <r>
    <s v="2024-03-07"/>
    <x v="9"/>
    <x v="6"/>
    <s v="DOGE"/>
    <n v="279309872719.33002"/>
    <n v="20078.8"/>
    <n v="25975595335.080002"/>
    <n v="9294645"/>
    <n v="12253989"/>
    <n v="12584822"/>
    <n v="6.07"/>
    <n v="3.89"/>
    <n v="17.579999999999998"/>
    <n v="29.59"/>
    <n v="190"/>
    <x v="0"/>
    <x v="0"/>
    <x v="3"/>
    <x v="7"/>
    <x v="0"/>
    <n v="36196"/>
    <n v="25.56"/>
    <n v="84.41"/>
    <n v="44.51"/>
    <n v="26.94"/>
  </r>
  <r>
    <s v="2024-05-10"/>
    <x v="6"/>
    <x v="6"/>
    <s v="DOGE"/>
    <n v="450920566170.08002"/>
    <n v="15709.15"/>
    <n v="8014936832.9799995"/>
    <n v="6957036"/>
    <n v="10797853"/>
    <n v="10941835"/>
    <n v="46.07"/>
    <n v="-3.29"/>
    <n v="6.89"/>
    <n v="-22.33"/>
    <n v="153"/>
    <x v="2"/>
    <x v="2"/>
    <x v="2"/>
    <x v="12"/>
    <x v="0"/>
    <n v="55310"/>
    <n v="67.37"/>
    <n v="90.99"/>
    <n v="42.15"/>
    <n v="70.03"/>
  </r>
  <r>
    <s v="2024-07-29"/>
    <x v="0"/>
    <x v="5"/>
    <s v="XRP"/>
    <n v="85710671140.899994"/>
    <n v="47243.49"/>
    <n v="17520257829.540001"/>
    <n v="11439639"/>
    <n v="14382493"/>
    <n v="14951995"/>
    <n v="24.01"/>
    <n v="-3.11"/>
    <n v="-13.79"/>
    <n v="-28"/>
    <n v="154"/>
    <x v="4"/>
    <x v="1"/>
    <x v="2"/>
    <x v="1"/>
    <x v="2"/>
    <n v="62732"/>
    <n v="99.31"/>
    <n v="43.83"/>
    <n v="22.1"/>
    <n v="61.63"/>
  </r>
  <r>
    <s v="2024-02-02"/>
    <x v="1"/>
    <x v="2"/>
    <s v="ADA"/>
    <n v="765999205192.60999"/>
    <n v="5653.36"/>
    <n v="16682437275.83"/>
    <n v="1682913"/>
    <n v="5587068"/>
    <n v="5898603"/>
    <n v="55.49"/>
    <n v="-3.2"/>
    <n v="-1.47"/>
    <n v="-34.229999999999997"/>
    <n v="41"/>
    <x v="2"/>
    <x v="0"/>
    <x v="0"/>
    <x v="5"/>
    <x v="1"/>
    <n v="39643"/>
    <n v="77.64"/>
    <n v="53.3"/>
    <n v="35.590000000000003"/>
    <n v="61.63"/>
  </r>
  <r>
    <s v="2024-10-06"/>
    <x v="10"/>
    <x v="5"/>
    <s v="XRP"/>
    <n v="353711812889.81"/>
    <n v="12613.86"/>
    <n v="49049649731.900002"/>
    <n v="5320559"/>
    <n v="7998271"/>
    <n v="8255612"/>
    <n v="37.86"/>
    <n v="-2.34"/>
    <n v="5.86"/>
    <n v="38.29"/>
    <n v="33"/>
    <x v="0"/>
    <x v="2"/>
    <x v="3"/>
    <x v="13"/>
    <x v="2"/>
    <n v="62445"/>
    <n v="79.27"/>
    <n v="63.41"/>
    <n v="29.45"/>
    <n v="69.39"/>
  </r>
  <r>
    <s v="2024-06-03"/>
    <x v="7"/>
    <x v="0"/>
    <s v="LTC"/>
    <n v="424373163905.29999"/>
    <n v="61131.3"/>
    <n v="4472488714.5799999"/>
    <n v="16390731"/>
    <n v="20924726"/>
    <n v="21828179"/>
    <n v="13.82"/>
    <n v="-4.25"/>
    <n v="4.0999999999999996"/>
    <n v="-17.78"/>
    <n v="168"/>
    <x v="3"/>
    <x v="0"/>
    <x v="0"/>
    <x v="2"/>
    <x v="0"/>
    <n v="25903"/>
    <n v="96.57"/>
    <n v="62.6"/>
    <n v="98.03"/>
    <n v="99.13"/>
  </r>
  <r>
    <s v="2024-12-08"/>
    <x v="4"/>
    <x v="5"/>
    <s v="XRP"/>
    <n v="538255000388.07001"/>
    <n v="27630.21"/>
    <n v="13573968297.1"/>
    <n v="10001236"/>
    <n v="11312587"/>
    <n v="11780189"/>
    <n v="45.32"/>
    <n v="-4.54"/>
    <n v="-9.43"/>
    <n v="-8.07"/>
    <n v="71"/>
    <x v="3"/>
    <x v="1"/>
    <x v="0"/>
    <x v="3"/>
    <x v="2"/>
    <n v="7056"/>
    <n v="22.09"/>
    <n v="68.88"/>
    <n v="42.87"/>
    <n v="88.78"/>
  </r>
  <r>
    <s v="2024-05-03"/>
    <x v="6"/>
    <x v="5"/>
    <s v="XRP"/>
    <n v="145738874164.97"/>
    <n v="65504.34"/>
    <n v="20220187874.5"/>
    <n v="7088641"/>
    <n v="7501800"/>
    <n v="7889289"/>
    <n v="38.21"/>
    <n v="4"/>
    <n v="-15.15"/>
    <n v="26.61"/>
    <n v="66"/>
    <x v="4"/>
    <x v="0"/>
    <x v="0"/>
    <x v="2"/>
    <x v="2"/>
    <n v="5865"/>
    <n v="58.15"/>
    <n v="46.45"/>
    <n v="86.93"/>
    <n v="52.46"/>
  </r>
  <r>
    <s v="2024-03-04"/>
    <x v="9"/>
    <x v="6"/>
    <s v="DOGE"/>
    <n v="775779267783.60999"/>
    <n v="62647.99"/>
    <n v="43263216602.169998"/>
    <n v="7948255"/>
    <n v="8673888"/>
    <n v="9324523"/>
    <n v="5.72"/>
    <n v="-4.2"/>
    <n v="-17.850000000000001"/>
    <n v="1.45"/>
    <n v="102"/>
    <x v="1"/>
    <x v="1"/>
    <x v="0"/>
    <x v="4"/>
    <x v="0"/>
    <n v="43447"/>
    <n v="40.54"/>
    <n v="38.979999999999997"/>
    <n v="46.21"/>
    <n v="20.89"/>
  </r>
  <r>
    <s v="2024-05-31"/>
    <x v="6"/>
    <x v="5"/>
    <s v="XRP"/>
    <n v="110290914406.38"/>
    <n v="62834.12"/>
    <n v="27860841599.380001"/>
    <n v="3107108"/>
    <n v="6580515"/>
    <n v="7416148"/>
    <n v="12.26"/>
    <n v="-2.08"/>
    <n v="4.7300000000000004"/>
    <n v="-5.59"/>
    <n v="84"/>
    <x v="2"/>
    <x v="4"/>
    <x v="3"/>
    <x v="0"/>
    <x v="2"/>
    <n v="7450"/>
    <n v="12.66"/>
    <n v="51.74"/>
    <n v="50.94"/>
    <n v="41"/>
  </r>
  <r>
    <s v="2024-04-15"/>
    <x v="8"/>
    <x v="3"/>
    <s v="SOL"/>
    <n v="784432296760.31006"/>
    <n v="62660.45"/>
    <n v="36589805428.860001"/>
    <n v="16970553"/>
    <n v="17612527"/>
    <n v="18119089"/>
    <n v="0.81"/>
    <n v="4.68"/>
    <n v="-13.21"/>
    <n v="6.44"/>
    <n v="151"/>
    <x v="4"/>
    <x v="1"/>
    <x v="2"/>
    <x v="11"/>
    <x v="1"/>
    <n v="31712"/>
    <n v="66.5"/>
    <n v="39.380000000000003"/>
    <n v="11.41"/>
    <n v="64.709999999999994"/>
  </r>
  <r>
    <s v="2024-04-03"/>
    <x v="8"/>
    <x v="0"/>
    <s v="LTC"/>
    <n v="89425050854.440002"/>
    <n v="60563.02"/>
    <n v="42092775189.410004"/>
    <n v="10874882"/>
    <n v="14818547"/>
    <n v="14856731"/>
    <n v="36.01"/>
    <n v="-0.45"/>
    <n v="9.3000000000000007"/>
    <n v="-23.12"/>
    <n v="127"/>
    <x v="3"/>
    <x v="4"/>
    <x v="0"/>
    <x v="1"/>
    <x v="0"/>
    <n v="22775"/>
    <n v="86.28"/>
    <n v="92.99"/>
    <n v="50.64"/>
    <n v="96.67"/>
  </r>
  <r>
    <s v="2024-10-24"/>
    <x v="10"/>
    <x v="5"/>
    <s v="XRP"/>
    <n v="456757927556.33002"/>
    <n v="48479.12"/>
    <n v="20059029040.639999"/>
    <n v="14590728"/>
    <n v="15270679"/>
    <n v="15930150"/>
    <n v="36.22"/>
    <n v="-0.51"/>
    <n v="-1.25"/>
    <n v="-34.11"/>
    <n v="35"/>
    <x v="1"/>
    <x v="4"/>
    <x v="4"/>
    <x v="1"/>
    <x v="2"/>
    <n v="21114"/>
    <n v="79.13"/>
    <n v="89.77"/>
    <n v="40.479999999999997"/>
    <n v="19.079999999999998"/>
  </r>
  <r>
    <s v="2024-03-03"/>
    <x v="9"/>
    <x v="0"/>
    <s v="LTC"/>
    <n v="389417130430.48999"/>
    <n v="12845.77"/>
    <n v="27648287742.200001"/>
    <n v="7580497"/>
    <n v="8403412"/>
    <n v="8474530"/>
    <n v="6.57"/>
    <n v="-1.48"/>
    <n v="18.93"/>
    <n v="20.52"/>
    <n v="23"/>
    <x v="2"/>
    <x v="3"/>
    <x v="1"/>
    <x v="13"/>
    <x v="0"/>
    <n v="23123"/>
    <n v="75.569999999999993"/>
    <n v="86.37"/>
    <n v="57.59"/>
    <n v="88.96"/>
  </r>
  <r>
    <s v="2024-02-21"/>
    <x v="1"/>
    <x v="7"/>
    <s v="AVAX"/>
    <n v="188658960143.92999"/>
    <n v="52039.37"/>
    <n v="43184707160.080002"/>
    <n v="2336211"/>
    <n v="4258768"/>
    <n v="4346933"/>
    <n v="6.43"/>
    <n v="4.25"/>
    <n v="3.32"/>
    <n v="15.57"/>
    <n v="131"/>
    <x v="3"/>
    <x v="2"/>
    <x v="2"/>
    <x v="4"/>
    <x v="1"/>
    <n v="16348"/>
    <n v="95.28"/>
    <n v="64.260000000000005"/>
    <n v="56.69"/>
    <n v="83.47"/>
  </r>
  <r>
    <s v="2024-11-22"/>
    <x v="3"/>
    <x v="9"/>
    <s v="BTC"/>
    <n v="499676784779.02002"/>
    <n v="54932.09"/>
    <n v="38150632712.669998"/>
    <n v="6005863"/>
    <n v="8282497"/>
    <n v="8893390"/>
    <n v="15.93"/>
    <n v="4.82"/>
    <n v="-18.93"/>
    <n v="-0.05"/>
    <n v="174"/>
    <x v="4"/>
    <x v="0"/>
    <x v="1"/>
    <x v="2"/>
    <x v="0"/>
    <n v="38761"/>
    <n v="29.88"/>
    <n v="77.94"/>
    <n v="46.14"/>
    <n v="43.4"/>
  </r>
  <r>
    <s v="2024-05-14"/>
    <x v="6"/>
    <x v="9"/>
    <s v="BTC"/>
    <n v="350924798852.96002"/>
    <n v="13236.61"/>
    <n v="2315495864.5500002"/>
    <n v="5031136"/>
    <n v="5840178"/>
    <n v="6698643"/>
    <n v="23.32"/>
    <n v="-2.7"/>
    <n v="5.91"/>
    <n v="4.45"/>
    <n v="35"/>
    <x v="3"/>
    <x v="1"/>
    <x v="2"/>
    <x v="3"/>
    <x v="0"/>
    <n v="27152"/>
    <n v="15.95"/>
    <n v="28.96"/>
    <n v="11.35"/>
    <n v="65.400000000000006"/>
  </r>
  <r>
    <s v="2024-11-04"/>
    <x v="3"/>
    <x v="2"/>
    <s v="ADA"/>
    <n v="311484760241.58002"/>
    <n v="22831.7"/>
    <n v="20773745063.700001"/>
    <n v="1351955"/>
    <n v="2993372"/>
    <n v="3889456"/>
    <n v="42.09"/>
    <n v="1.29"/>
    <n v="-2.23"/>
    <n v="33.93"/>
    <n v="96"/>
    <x v="4"/>
    <x v="2"/>
    <x v="1"/>
    <x v="9"/>
    <x v="1"/>
    <n v="23176"/>
    <n v="16.12"/>
    <n v="81.569999999999993"/>
    <n v="76.12"/>
    <n v="89.34"/>
  </r>
  <r>
    <s v="2024-06-12"/>
    <x v="7"/>
    <x v="6"/>
    <s v="DOGE"/>
    <n v="245808606415.84"/>
    <n v="36561.370000000003"/>
    <n v="27501059906.540001"/>
    <n v="1232914"/>
    <n v="3824448"/>
    <n v="3934844"/>
    <n v="33.299999999999997"/>
    <n v="0.13"/>
    <n v="7.7"/>
    <n v="-9.94"/>
    <n v="104"/>
    <x v="2"/>
    <x v="0"/>
    <x v="1"/>
    <x v="10"/>
    <x v="0"/>
    <n v="31354"/>
    <n v="22.02"/>
    <n v="25.97"/>
    <n v="94.25"/>
    <n v="62.73"/>
  </r>
  <r>
    <s v="2024-01-01"/>
    <x v="2"/>
    <x v="0"/>
    <s v="LTC"/>
    <n v="248674252215.92001"/>
    <n v="69582.64"/>
    <n v="42364271959.949997"/>
    <n v="14792443"/>
    <n v="18591015"/>
    <n v="19059655"/>
    <n v="26.22"/>
    <n v="-2.09"/>
    <n v="-5.88"/>
    <n v="22.41"/>
    <n v="144"/>
    <x v="3"/>
    <x v="0"/>
    <x v="3"/>
    <x v="0"/>
    <x v="0"/>
    <n v="60022"/>
    <n v="38.49"/>
    <n v="28.29"/>
    <n v="84.36"/>
    <n v="84.21"/>
  </r>
  <r>
    <s v="2024-06-19"/>
    <x v="7"/>
    <x v="9"/>
    <s v="BTC"/>
    <n v="208241839378.64001"/>
    <n v="45861.8"/>
    <n v="11497216818.610001"/>
    <n v="15899054"/>
    <n v="17348852"/>
    <n v="18010936"/>
    <n v="41.86"/>
    <n v="-3.84"/>
    <n v="-18.78"/>
    <n v="15.86"/>
    <n v="69"/>
    <x v="3"/>
    <x v="1"/>
    <x v="2"/>
    <x v="0"/>
    <x v="0"/>
    <n v="40040"/>
    <n v="14.23"/>
    <n v="80.260000000000005"/>
    <n v="35.549999999999997"/>
    <n v="15.45"/>
  </r>
  <r>
    <s v="2024-01-07"/>
    <x v="2"/>
    <x v="5"/>
    <s v="XRP"/>
    <n v="221602447326.79999"/>
    <n v="42301.120000000003"/>
    <n v="10368793535.48"/>
    <n v="7245872"/>
    <n v="8769617"/>
    <n v="9265165"/>
    <n v="5.94"/>
    <n v="-0.93"/>
    <n v="7.8"/>
    <n v="29.86"/>
    <n v="7"/>
    <x v="1"/>
    <x v="2"/>
    <x v="1"/>
    <x v="9"/>
    <x v="2"/>
    <n v="4411"/>
    <n v="89.98"/>
    <n v="52.02"/>
    <n v="25.07"/>
    <n v="54.02"/>
  </r>
  <r>
    <s v="2024-02-10"/>
    <x v="1"/>
    <x v="3"/>
    <s v="SOL"/>
    <n v="602725942802.02002"/>
    <n v="2206.9699999999998"/>
    <n v="30851677532.299999"/>
    <n v="4841110"/>
    <n v="9394651"/>
    <n v="9920110"/>
    <n v="53.08"/>
    <n v="0.85"/>
    <n v="-16.63"/>
    <n v="20.83"/>
    <n v="51"/>
    <x v="4"/>
    <x v="0"/>
    <x v="0"/>
    <x v="13"/>
    <x v="1"/>
    <n v="42451"/>
    <n v="12.55"/>
    <n v="27.82"/>
    <n v="11.92"/>
    <n v="57.79"/>
  </r>
  <r>
    <s v="2024-01-19"/>
    <x v="2"/>
    <x v="8"/>
    <s v="ETH"/>
    <n v="93584276563.259995"/>
    <n v="49232.62"/>
    <n v="6169922969.3299999"/>
    <n v="16756227"/>
    <n v="19543205"/>
    <n v="20307640"/>
    <n v="26.02"/>
    <n v="0.54"/>
    <n v="-8.08"/>
    <n v="-2.36"/>
    <n v="172"/>
    <x v="3"/>
    <x v="1"/>
    <x v="1"/>
    <x v="3"/>
    <x v="1"/>
    <n v="39096"/>
    <n v="93.43"/>
    <n v="71.44"/>
    <n v="72.319999999999993"/>
    <n v="54.98"/>
  </r>
  <r>
    <s v="2024-03-27"/>
    <x v="9"/>
    <x v="7"/>
    <s v="AVAX"/>
    <n v="567971926145.18005"/>
    <n v="57678.17"/>
    <n v="35618625891.290001"/>
    <n v="8138813"/>
    <n v="8835081"/>
    <n v="9150949"/>
    <n v="38.89"/>
    <n v="-2.25"/>
    <n v="16.03"/>
    <n v="-38.950000000000003"/>
    <n v="56"/>
    <x v="2"/>
    <x v="1"/>
    <x v="3"/>
    <x v="9"/>
    <x v="1"/>
    <n v="3682"/>
    <n v="26.63"/>
    <n v="44.65"/>
    <n v="44.47"/>
    <n v="31.45"/>
  </r>
  <r>
    <s v="2024-09-13"/>
    <x v="11"/>
    <x v="1"/>
    <s v="BNB"/>
    <n v="395580320826.40997"/>
    <n v="6588.03"/>
    <n v="2019792375.3399999"/>
    <n v="9680442"/>
    <n v="12189298"/>
    <n v="12576495"/>
    <n v="47.37"/>
    <n v="0.69"/>
    <n v="8.67"/>
    <n v="29.21"/>
    <n v="21"/>
    <x v="2"/>
    <x v="0"/>
    <x v="1"/>
    <x v="8"/>
    <x v="1"/>
    <n v="40196"/>
    <n v="66.91"/>
    <n v="93.69"/>
    <n v="33.08"/>
    <n v="16.25"/>
  </r>
  <r>
    <s v="2024-05-27"/>
    <x v="6"/>
    <x v="4"/>
    <s v="DOT"/>
    <n v="524238470712.07001"/>
    <n v="20183.349999999999"/>
    <n v="31493585639.799999"/>
    <n v="12241638"/>
    <n v="14628446"/>
    <n v="15218032"/>
    <n v="50.19"/>
    <n v="-4.09"/>
    <n v="4.63"/>
    <n v="33.450000000000003"/>
    <n v="28"/>
    <x v="2"/>
    <x v="2"/>
    <x v="1"/>
    <x v="6"/>
    <x v="1"/>
    <n v="5202"/>
    <n v="21.52"/>
    <n v="25.25"/>
    <n v="23.93"/>
    <n v="24.64"/>
  </r>
  <r>
    <s v="2024-01-05"/>
    <x v="2"/>
    <x v="8"/>
    <s v="ETH"/>
    <n v="680722179378.13"/>
    <n v="34365.01"/>
    <n v="2424922491.5599999"/>
    <n v="18425814"/>
    <n v="21039263"/>
    <n v="21084216"/>
    <n v="40.98"/>
    <n v="-2.95"/>
    <n v="0.43"/>
    <n v="38.43"/>
    <n v="162"/>
    <x v="0"/>
    <x v="3"/>
    <x v="1"/>
    <x v="4"/>
    <x v="1"/>
    <n v="47153"/>
    <n v="89.7"/>
    <n v="43.08"/>
    <n v="58.94"/>
    <n v="85.94"/>
  </r>
  <r>
    <s v="2024-05-09"/>
    <x v="6"/>
    <x v="9"/>
    <s v="BTC"/>
    <n v="81642945551.410004"/>
    <n v="32341.73"/>
    <n v="15184015352.24"/>
    <n v="15523433"/>
    <n v="19443437"/>
    <n v="19864935"/>
    <n v="28.99"/>
    <n v="2.41"/>
    <n v="-12.24"/>
    <n v="17.690000000000001"/>
    <n v="80"/>
    <x v="2"/>
    <x v="1"/>
    <x v="4"/>
    <x v="13"/>
    <x v="0"/>
    <n v="21721"/>
    <n v="76.349999999999994"/>
    <n v="26.22"/>
    <n v="33.090000000000003"/>
    <n v="27.91"/>
  </r>
  <r>
    <s v="2024-10-18"/>
    <x v="10"/>
    <x v="7"/>
    <s v="AVAX"/>
    <n v="756190308965.19995"/>
    <n v="10199.92"/>
    <n v="34766983267.790001"/>
    <n v="16008674"/>
    <n v="16625701"/>
    <n v="17090732"/>
    <n v="33.659999999999997"/>
    <n v="-3.31"/>
    <n v="5.66"/>
    <n v="-1.71"/>
    <n v="180"/>
    <x v="1"/>
    <x v="3"/>
    <x v="3"/>
    <x v="5"/>
    <x v="1"/>
    <n v="63968"/>
    <n v="23.25"/>
    <n v="93.58"/>
    <n v="33.950000000000003"/>
    <n v="22.44"/>
  </r>
  <r>
    <s v="2024-07-23"/>
    <x v="0"/>
    <x v="2"/>
    <s v="ADA"/>
    <n v="825852101530.85999"/>
    <n v="45153.89"/>
    <n v="16307442606.040001"/>
    <n v="18797880"/>
    <n v="18999846"/>
    <n v="19336654"/>
    <n v="47.28"/>
    <n v="4.92"/>
    <n v="-8.15"/>
    <n v="-4.2300000000000004"/>
    <n v="151"/>
    <x v="2"/>
    <x v="4"/>
    <x v="2"/>
    <x v="6"/>
    <x v="1"/>
    <n v="24126"/>
    <n v="26.1"/>
    <n v="93.19"/>
    <n v="53.92"/>
    <n v="62.87"/>
  </r>
  <r>
    <s v="2024-08-25"/>
    <x v="5"/>
    <x v="6"/>
    <s v="DOGE"/>
    <n v="412840314476.09003"/>
    <n v="34569.370000000003"/>
    <n v="5632013275.1400003"/>
    <n v="17338420"/>
    <n v="22181922"/>
    <n v="22681802"/>
    <n v="49.16"/>
    <n v="-4.75"/>
    <n v="-8.86"/>
    <n v="1.49"/>
    <n v="175"/>
    <x v="1"/>
    <x v="4"/>
    <x v="1"/>
    <x v="3"/>
    <x v="0"/>
    <n v="35057"/>
    <n v="55.47"/>
    <n v="72.91"/>
    <n v="43.94"/>
    <n v="48.57"/>
  </r>
  <r>
    <s v="2024-07-04"/>
    <x v="0"/>
    <x v="2"/>
    <s v="ADA"/>
    <n v="844801612651.15002"/>
    <n v="65805.09"/>
    <n v="43415463474.849998"/>
    <n v="4662700"/>
    <n v="9554263"/>
    <n v="9765906"/>
    <n v="46.59"/>
    <n v="4.5"/>
    <n v="1.08"/>
    <n v="-0.99"/>
    <n v="155"/>
    <x v="3"/>
    <x v="3"/>
    <x v="1"/>
    <x v="5"/>
    <x v="1"/>
    <n v="42626"/>
    <n v="22.58"/>
    <n v="51.72"/>
    <n v="12.45"/>
    <n v="12.79"/>
  </r>
  <r>
    <s v="2024-02-10"/>
    <x v="1"/>
    <x v="2"/>
    <s v="ADA"/>
    <n v="552474449279.66003"/>
    <n v="66163.13"/>
    <n v="47163787476.370003"/>
    <n v="1134645"/>
    <n v="3899358"/>
    <n v="4610743"/>
    <n v="15.99"/>
    <n v="-3.77"/>
    <n v="-19.75"/>
    <n v="4.51"/>
    <n v="132"/>
    <x v="1"/>
    <x v="2"/>
    <x v="2"/>
    <x v="4"/>
    <x v="1"/>
    <n v="52628"/>
    <n v="67.989999999999995"/>
    <n v="93.47"/>
    <n v="28.31"/>
    <n v="81.63"/>
  </r>
  <r>
    <s v="2024-04-06"/>
    <x v="8"/>
    <x v="3"/>
    <s v="SOL"/>
    <n v="774984113953.96997"/>
    <n v="62542.400000000001"/>
    <n v="4942585793.5900002"/>
    <n v="13265752"/>
    <n v="14499581"/>
    <n v="14823976"/>
    <n v="17.86"/>
    <n v="-0.83"/>
    <n v="-1.65"/>
    <n v="11.39"/>
    <n v="57"/>
    <x v="4"/>
    <x v="2"/>
    <x v="3"/>
    <x v="6"/>
    <x v="1"/>
    <n v="55494"/>
    <n v="23.89"/>
    <n v="53.79"/>
    <n v="24.14"/>
    <n v="69.930000000000007"/>
  </r>
  <r>
    <s v="2024-07-05"/>
    <x v="0"/>
    <x v="3"/>
    <s v="SOL"/>
    <n v="520278502013.38"/>
    <n v="18381.919999999998"/>
    <n v="33552770623.25"/>
    <n v="3333435"/>
    <n v="7701896"/>
    <n v="7940432"/>
    <n v="20.95"/>
    <n v="3.77"/>
    <n v="-10.1"/>
    <n v="18.84"/>
    <n v="141"/>
    <x v="0"/>
    <x v="3"/>
    <x v="1"/>
    <x v="6"/>
    <x v="1"/>
    <n v="41273"/>
    <n v="73.239999999999995"/>
    <n v="90.45"/>
    <n v="80"/>
    <n v="55.25"/>
  </r>
  <r>
    <s v="2024-03-03"/>
    <x v="9"/>
    <x v="7"/>
    <s v="AVAX"/>
    <n v="813670523639.84998"/>
    <n v="38146.550000000003"/>
    <n v="43989792414.07"/>
    <n v="17311988"/>
    <n v="19686757"/>
    <n v="20420780"/>
    <n v="41.21"/>
    <n v="3.44"/>
    <n v="9"/>
    <n v="-12.24"/>
    <n v="44"/>
    <x v="4"/>
    <x v="0"/>
    <x v="2"/>
    <x v="3"/>
    <x v="1"/>
    <n v="4555"/>
    <n v="67.61"/>
    <n v="95.05"/>
    <n v="31.38"/>
    <n v="10.33"/>
  </r>
  <r>
    <s v="2024-07-14"/>
    <x v="0"/>
    <x v="0"/>
    <s v="LTC"/>
    <n v="573046482322.67004"/>
    <n v="22275.83"/>
    <n v="36472499451.760002"/>
    <n v="14214873"/>
    <n v="15074381"/>
    <n v="16005981"/>
    <n v="52.88"/>
    <n v="-3.94"/>
    <n v="0.01"/>
    <n v="5.37"/>
    <n v="137"/>
    <x v="0"/>
    <x v="3"/>
    <x v="4"/>
    <x v="10"/>
    <x v="0"/>
    <n v="49105"/>
    <n v="82.56"/>
    <n v="65.73"/>
    <n v="43.56"/>
    <n v="21.45"/>
  </r>
  <r>
    <s v="2024-01-01"/>
    <x v="2"/>
    <x v="7"/>
    <s v="AVAX"/>
    <n v="428575295051.03998"/>
    <n v="58001.86"/>
    <n v="43816627670.900002"/>
    <n v="14415080"/>
    <n v="19043538"/>
    <n v="19456989"/>
    <n v="29.47"/>
    <n v="-3.68"/>
    <n v="4.79"/>
    <n v="-2.59"/>
    <n v="198"/>
    <x v="3"/>
    <x v="2"/>
    <x v="4"/>
    <x v="11"/>
    <x v="1"/>
    <n v="15325"/>
    <n v="85.28"/>
    <n v="89.12"/>
    <n v="87.32"/>
    <n v="14.61"/>
  </r>
  <r>
    <s v="2024-04-09"/>
    <x v="8"/>
    <x v="9"/>
    <s v="BTC"/>
    <n v="151157239991.20999"/>
    <n v="22263.63"/>
    <n v="2778167519.5799999"/>
    <n v="12546921"/>
    <n v="13274244"/>
    <n v="14120597"/>
    <n v="18.55"/>
    <n v="0.39"/>
    <n v="-0.85"/>
    <n v="-14.27"/>
    <n v="151"/>
    <x v="0"/>
    <x v="1"/>
    <x v="2"/>
    <x v="13"/>
    <x v="0"/>
    <n v="27921"/>
    <n v="54.91"/>
    <n v="86.05"/>
    <n v="32.32"/>
    <n v="54.38"/>
  </r>
  <r>
    <s v="2024-09-27"/>
    <x v="11"/>
    <x v="2"/>
    <s v="ADA"/>
    <n v="202106413960.32999"/>
    <n v="60875.19"/>
    <n v="38924109135.440002"/>
    <n v="8936748"/>
    <n v="12774311"/>
    <n v="13411528"/>
    <n v="17.95"/>
    <n v="-2.4500000000000002"/>
    <n v="-0.03"/>
    <n v="10"/>
    <n v="73"/>
    <x v="2"/>
    <x v="4"/>
    <x v="0"/>
    <x v="1"/>
    <x v="1"/>
    <n v="5000"/>
    <n v="36.380000000000003"/>
    <n v="91.98"/>
    <n v="74.03"/>
    <n v="26.65"/>
  </r>
  <r>
    <s v="2024-07-18"/>
    <x v="0"/>
    <x v="3"/>
    <s v="SOL"/>
    <n v="750281128181.52002"/>
    <n v="17658.72"/>
    <n v="46227134446.779999"/>
    <n v="14119055"/>
    <n v="14662372"/>
    <n v="15003450"/>
    <n v="27.55"/>
    <n v="-1.64"/>
    <n v="9.5"/>
    <n v="36.409999999999997"/>
    <n v="195"/>
    <x v="0"/>
    <x v="2"/>
    <x v="1"/>
    <x v="6"/>
    <x v="1"/>
    <n v="23604"/>
    <n v="61.82"/>
    <n v="48.07"/>
    <n v="70.84"/>
    <n v="41.43"/>
  </r>
  <r>
    <s v="2024-01-12"/>
    <x v="2"/>
    <x v="9"/>
    <s v="BTC"/>
    <n v="175869342757.98999"/>
    <n v="34870.370000000003"/>
    <n v="44387505791.169998"/>
    <n v="13970717"/>
    <n v="14709085"/>
    <n v="15458854"/>
    <n v="16.57"/>
    <n v="-4.41"/>
    <n v="-2.99"/>
    <n v="14.07"/>
    <n v="10"/>
    <x v="1"/>
    <x v="1"/>
    <x v="4"/>
    <x v="4"/>
    <x v="0"/>
    <n v="37292"/>
    <n v="44.46"/>
    <n v="76.36"/>
    <n v="63.64"/>
    <n v="79"/>
  </r>
  <r>
    <s v="2024-02-09"/>
    <x v="1"/>
    <x v="8"/>
    <s v="ETH"/>
    <n v="707767789330.52002"/>
    <n v="8901.11"/>
    <n v="39644596701.139999"/>
    <n v="10401092"/>
    <n v="10475915"/>
    <n v="11462277"/>
    <n v="42.66"/>
    <n v="4.9800000000000004"/>
    <n v="-0.71"/>
    <n v="-26.59"/>
    <n v="173"/>
    <x v="0"/>
    <x v="2"/>
    <x v="3"/>
    <x v="7"/>
    <x v="1"/>
    <n v="23755"/>
    <n v="84.08"/>
    <n v="92.87"/>
    <n v="80.44"/>
    <n v="15.15"/>
  </r>
  <r>
    <s v="2024-10-27"/>
    <x v="10"/>
    <x v="9"/>
    <s v="BTC"/>
    <n v="20287246326.380001"/>
    <n v="9415.7000000000007"/>
    <n v="2958211773.6100001"/>
    <n v="2036884"/>
    <n v="3806964"/>
    <n v="3955653"/>
    <n v="41.59"/>
    <n v="2.85"/>
    <n v="0.37"/>
    <n v="-21.98"/>
    <n v="94"/>
    <x v="2"/>
    <x v="2"/>
    <x v="1"/>
    <x v="9"/>
    <x v="0"/>
    <n v="31532"/>
    <n v="95.17"/>
    <n v="71.06"/>
    <n v="11.71"/>
    <n v="19.62"/>
  </r>
  <r>
    <s v="2024-12-20"/>
    <x v="4"/>
    <x v="7"/>
    <s v="AVAX"/>
    <n v="857847095712.14001"/>
    <n v="9063.56"/>
    <n v="45732809254.260002"/>
    <n v="9180790"/>
    <n v="10288652"/>
    <n v="10935241"/>
    <n v="50.42"/>
    <n v="4.3"/>
    <n v="7.26"/>
    <n v="4.99"/>
    <n v="184"/>
    <x v="3"/>
    <x v="4"/>
    <x v="2"/>
    <x v="3"/>
    <x v="1"/>
    <n v="41529"/>
    <n v="69.260000000000005"/>
    <n v="65.819999999999993"/>
    <n v="92.38"/>
    <n v="88.8"/>
  </r>
  <r>
    <s v="2024-10-04"/>
    <x v="10"/>
    <x v="0"/>
    <s v="LTC"/>
    <n v="666166355235.68994"/>
    <n v="36490.160000000003"/>
    <n v="47879346024.730003"/>
    <n v="7389510"/>
    <n v="8567497"/>
    <n v="8880216"/>
    <n v="40.58"/>
    <n v="-3.43"/>
    <n v="-9.31"/>
    <n v="25.49"/>
    <n v="150"/>
    <x v="3"/>
    <x v="2"/>
    <x v="2"/>
    <x v="4"/>
    <x v="0"/>
    <n v="39509"/>
    <n v="84.8"/>
    <n v="84.96"/>
    <n v="77.989999999999995"/>
    <n v="81.39"/>
  </r>
  <r>
    <s v="2024-12-19"/>
    <x v="4"/>
    <x v="6"/>
    <s v="DOGE"/>
    <n v="479328086778.81"/>
    <n v="67370.5"/>
    <n v="47644381219.660004"/>
    <n v="16364548"/>
    <n v="18545334"/>
    <n v="19057983"/>
    <n v="36.090000000000003"/>
    <n v="3.05"/>
    <n v="16.440000000000001"/>
    <n v="18.71"/>
    <n v="52"/>
    <x v="3"/>
    <x v="4"/>
    <x v="3"/>
    <x v="9"/>
    <x v="0"/>
    <n v="54630"/>
    <n v="26.45"/>
    <n v="50.37"/>
    <n v="12.48"/>
    <n v="19.690000000000001"/>
  </r>
  <r>
    <s v="2024-04-19"/>
    <x v="8"/>
    <x v="4"/>
    <s v="DOT"/>
    <n v="301607766176.65997"/>
    <n v="61921.74"/>
    <n v="26188025819.77"/>
    <n v="6594966"/>
    <n v="9493017"/>
    <n v="10170133"/>
    <n v="31.57"/>
    <n v="2.09"/>
    <n v="-7.58"/>
    <n v="33.479999999999997"/>
    <n v="110"/>
    <x v="3"/>
    <x v="1"/>
    <x v="2"/>
    <x v="4"/>
    <x v="1"/>
    <n v="33319"/>
    <n v="18.559999999999999"/>
    <n v="85.54"/>
    <n v="21.19"/>
    <n v="77.39"/>
  </r>
  <r>
    <s v="2024-07-30"/>
    <x v="0"/>
    <x v="1"/>
    <s v="BNB"/>
    <n v="766436218140.37"/>
    <n v="34512.03"/>
    <n v="15281648744"/>
    <n v="6068400"/>
    <n v="8193309"/>
    <n v="8289736"/>
    <n v="6.54"/>
    <n v="-2.9"/>
    <n v="7.68"/>
    <n v="-5.89"/>
    <n v="140"/>
    <x v="1"/>
    <x v="1"/>
    <x v="0"/>
    <x v="12"/>
    <x v="1"/>
    <n v="34292"/>
    <n v="38.1"/>
    <n v="44.92"/>
    <n v="75.62"/>
    <n v="85.34"/>
  </r>
  <r>
    <s v="2024-07-23"/>
    <x v="0"/>
    <x v="3"/>
    <s v="SOL"/>
    <n v="400291918993.28003"/>
    <n v="31894.38"/>
    <n v="31623220333.599998"/>
    <n v="4818266"/>
    <n v="8925115"/>
    <n v="9450441"/>
    <n v="23.34"/>
    <n v="3.13"/>
    <n v="-10.3"/>
    <n v="-16.43"/>
    <n v="140"/>
    <x v="1"/>
    <x v="3"/>
    <x v="4"/>
    <x v="12"/>
    <x v="1"/>
    <n v="52651"/>
    <n v="49"/>
    <n v="68.709999999999994"/>
    <n v="22.37"/>
    <n v="48.01"/>
  </r>
  <r>
    <s v="2024-11-28"/>
    <x v="3"/>
    <x v="9"/>
    <s v="BTC"/>
    <n v="51822832151.370003"/>
    <n v="50632.2"/>
    <n v="30732881437.18"/>
    <n v="2097517"/>
    <n v="3034556"/>
    <n v="3764172"/>
    <n v="18.690000000000001"/>
    <n v="-0.04"/>
    <n v="-17.36"/>
    <n v="36.369999999999997"/>
    <n v="102"/>
    <x v="3"/>
    <x v="2"/>
    <x v="4"/>
    <x v="0"/>
    <x v="0"/>
    <n v="941"/>
    <n v="28"/>
    <n v="90"/>
    <n v="80.650000000000006"/>
    <n v="90.16"/>
  </r>
  <r>
    <s v="2024-11-10"/>
    <x v="3"/>
    <x v="4"/>
    <s v="DOT"/>
    <n v="529090412873.53003"/>
    <n v="48348.77"/>
    <n v="10215368900.780001"/>
    <n v="1744967"/>
    <n v="3801008"/>
    <n v="3811902"/>
    <n v="38.840000000000003"/>
    <n v="-1.64"/>
    <n v="-6.35"/>
    <n v="30.18"/>
    <n v="36"/>
    <x v="2"/>
    <x v="3"/>
    <x v="0"/>
    <x v="3"/>
    <x v="1"/>
    <n v="32288"/>
    <n v="94.1"/>
    <n v="95.03"/>
    <n v="77.349999999999994"/>
    <n v="63.01"/>
  </r>
  <r>
    <s v="2024-11-08"/>
    <x v="3"/>
    <x v="9"/>
    <s v="BTC"/>
    <n v="405543868136.12"/>
    <n v="33703.64"/>
    <n v="19387107286.16"/>
    <n v="9898332"/>
    <n v="9944941"/>
    <n v="10374530"/>
    <n v="55.39"/>
    <n v="-2.29"/>
    <n v="-19.86"/>
    <n v="-34.4"/>
    <n v="174"/>
    <x v="1"/>
    <x v="3"/>
    <x v="2"/>
    <x v="8"/>
    <x v="0"/>
    <n v="22687"/>
    <n v="37.65"/>
    <n v="68.14"/>
    <n v="71.010000000000005"/>
    <n v="87.08"/>
  </r>
  <r>
    <s v="2024-07-09"/>
    <x v="0"/>
    <x v="5"/>
    <s v="XRP"/>
    <n v="416343884926.52002"/>
    <n v="61336.84"/>
    <n v="33569005214.189999"/>
    <n v="5213983"/>
    <n v="9782552"/>
    <n v="9907261"/>
    <n v="21.44"/>
    <n v="0.73"/>
    <n v="-19.52"/>
    <n v="-35.85"/>
    <n v="36"/>
    <x v="0"/>
    <x v="1"/>
    <x v="0"/>
    <x v="3"/>
    <x v="2"/>
    <n v="60273"/>
    <n v="40.9"/>
    <n v="71.599999999999994"/>
    <n v="68.06"/>
    <n v="46.93"/>
  </r>
  <r>
    <s v="2024-01-17"/>
    <x v="2"/>
    <x v="8"/>
    <s v="ETH"/>
    <n v="379071410891.23999"/>
    <n v="23403.01"/>
    <n v="9042191693.25"/>
    <n v="2557210"/>
    <n v="4672711"/>
    <n v="4713442"/>
    <n v="12.51"/>
    <n v="-4.26"/>
    <n v="8.7100000000000009"/>
    <n v="31.38"/>
    <n v="168"/>
    <x v="2"/>
    <x v="4"/>
    <x v="4"/>
    <x v="13"/>
    <x v="1"/>
    <n v="45058"/>
    <n v="78.44"/>
    <n v="72.83"/>
    <n v="35.44"/>
    <n v="43.43"/>
  </r>
  <r>
    <s v="2024-08-28"/>
    <x v="5"/>
    <x v="7"/>
    <s v="AVAX"/>
    <n v="46888591744.620003"/>
    <n v="46976.42"/>
    <n v="42763876378.07"/>
    <n v="16459761"/>
    <n v="17205258"/>
    <n v="17752155"/>
    <n v="33.28"/>
    <n v="-0.28000000000000003"/>
    <n v="-14.15"/>
    <n v="16.399999999999999"/>
    <n v="170"/>
    <x v="1"/>
    <x v="0"/>
    <x v="4"/>
    <x v="8"/>
    <x v="1"/>
    <n v="55281"/>
    <n v="92.87"/>
    <n v="52.63"/>
    <n v="31.04"/>
    <n v="20.399999999999999"/>
  </r>
  <r>
    <s v="2024-10-05"/>
    <x v="10"/>
    <x v="7"/>
    <s v="AVAX"/>
    <n v="63904120402.089996"/>
    <n v="10652.01"/>
    <n v="19654668213.16"/>
    <n v="2477527"/>
    <n v="5212951"/>
    <n v="5463944"/>
    <n v="29.81"/>
    <n v="-1.61"/>
    <n v="0.62"/>
    <n v="-36.15"/>
    <n v="38"/>
    <x v="3"/>
    <x v="0"/>
    <x v="0"/>
    <x v="0"/>
    <x v="1"/>
    <n v="9628"/>
    <n v="63.63"/>
    <n v="89.87"/>
    <n v="77.510000000000005"/>
    <n v="48.23"/>
  </r>
  <r>
    <s v="2024-05-26"/>
    <x v="6"/>
    <x v="2"/>
    <s v="ADA"/>
    <n v="808638228596.27002"/>
    <n v="55872.99"/>
    <n v="37654296681.559998"/>
    <n v="5968790"/>
    <n v="10216146"/>
    <n v="10960492"/>
    <n v="34.49"/>
    <n v="0.21"/>
    <n v="16.28"/>
    <n v="24.4"/>
    <n v="146"/>
    <x v="1"/>
    <x v="1"/>
    <x v="4"/>
    <x v="7"/>
    <x v="1"/>
    <n v="13027"/>
    <n v="71.989999999999995"/>
    <n v="72.62"/>
    <n v="10.88"/>
    <n v="55.57"/>
  </r>
  <r>
    <s v="2024-06-06"/>
    <x v="7"/>
    <x v="5"/>
    <s v="XRP"/>
    <n v="77575260084.229996"/>
    <n v="59234.77"/>
    <n v="15480476895.280001"/>
    <n v="9864832"/>
    <n v="12815554"/>
    <n v="12880823"/>
    <n v="38.57"/>
    <n v="3.43"/>
    <n v="-11.67"/>
    <n v="5.29"/>
    <n v="18"/>
    <x v="0"/>
    <x v="2"/>
    <x v="1"/>
    <x v="11"/>
    <x v="2"/>
    <n v="54804"/>
    <n v="43.28"/>
    <n v="66.27"/>
    <n v="76.23"/>
    <n v="31.98"/>
  </r>
  <r>
    <s v="2024-07-19"/>
    <x v="0"/>
    <x v="2"/>
    <s v="ADA"/>
    <n v="297122057906.03998"/>
    <n v="44712.12"/>
    <n v="13659939945.379999"/>
    <n v="1962978"/>
    <n v="6689474"/>
    <n v="7326885"/>
    <n v="41.7"/>
    <n v="1.26"/>
    <n v="-10.33"/>
    <n v="10.44"/>
    <n v="196"/>
    <x v="3"/>
    <x v="0"/>
    <x v="4"/>
    <x v="0"/>
    <x v="1"/>
    <n v="56606"/>
    <n v="53.68"/>
    <n v="21.34"/>
    <n v="91.59"/>
    <n v="24.75"/>
  </r>
  <r>
    <s v="2024-06-18"/>
    <x v="7"/>
    <x v="2"/>
    <s v="ADA"/>
    <n v="199529779991.53"/>
    <n v="27140.63"/>
    <n v="283583640.86000001"/>
    <n v="1545453"/>
    <n v="2991311"/>
    <n v="3060849"/>
    <n v="52.46"/>
    <n v="-4.88"/>
    <n v="-7.02"/>
    <n v="-16.149999999999999"/>
    <n v="1"/>
    <x v="4"/>
    <x v="4"/>
    <x v="3"/>
    <x v="1"/>
    <x v="1"/>
    <n v="63768"/>
    <n v="81.06"/>
    <n v="56.09"/>
    <n v="84.83"/>
    <n v="57.65"/>
  </r>
  <r>
    <s v="2024-03-05"/>
    <x v="9"/>
    <x v="5"/>
    <s v="XRP"/>
    <n v="163705495299.67999"/>
    <n v="50920.68"/>
    <n v="43552204251.589996"/>
    <n v="4639526"/>
    <n v="6915901"/>
    <n v="7023644"/>
    <n v="35.380000000000003"/>
    <n v="-4.03"/>
    <n v="11.55"/>
    <n v="-28.34"/>
    <n v="124"/>
    <x v="2"/>
    <x v="1"/>
    <x v="3"/>
    <x v="5"/>
    <x v="2"/>
    <n v="13789"/>
    <n v="38.700000000000003"/>
    <n v="93.29"/>
    <n v="64.510000000000005"/>
    <n v="14.27"/>
  </r>
  <r>
    <s v="2024-04-11"/>
    <x v="8"/>
    <x v="1"/>
    <s v="BNB"/>
    <n v="651547622259.80005"/>
    <n v="58366.12"/>
    <n v="19932094988.650002"/>
    <n v="17170470"/>
    <n v="18419345"/>
    <n v="18669555"/>
    <n v="19.91"/>
    <n v="-3.72"/>
    <n v="-0.61"/>
    <n v="11.78"/>
    <n v="74"/>
    <x v="1"/>
    <x v="2"/>
    <x v="1"/>
    <x v="5"/>
    <x v="1"/>
    <n v="6647"/>
    <n v="57.82"/>
    <n v="43.49"/>
    <n v="97.91"/>
    <n v="58.59"/>
  </r>
  <r>
    <s v="2024-07-14"/>
    <x v="0"/>
    <x v="5"/>
    <s v="XRP"/>
    <n v="385146021248.20001"/>
    <n v="46890.13"/>
    <n v="6631509199.0200005"/>
    <n v="18501289"/>
    <n v="22367291"/>
    <n v="23130807"/>
    <n v="55.29"/>
    <n v="4.2699999999999996"/>
    <n v="1.77"/>
    <n v="6.73"/>
    <n v="111"/>
    <x v="0"/>
    <x v="2"/>
    <x v="3"/>
    <x v="7"/>
    <x v="2"/>
    <n v="14564"/>
    <n v="50.69"/>
    <n v="27.04"/>
    <n v="20.63"/>
    <n v="81.89"/>
  </r>
  <r>
    <s v="2024-11-29"/>
    <x v="3"/>
    <x v="7"/>
    <s v="AVAX"/>
    <n v="578847499871.40002"/>
    <n v="18390.169999999998"/>
    <n v="9784862937.2600002"/>
    <n v="18559711"/>
    <n v="22082074"/>
    <n v="22256147"/>
    <n v="26.22"/>
    <n v="-0.06"/>
    <n v="-15.22"/>
    <n v="-29.83"/>
    <n v="99"/>
    <x v="4"/>
    <x v="0"/>
    <x v="3"/>
    <x v="11"/>
    <x v="1"/>
    <n v="30735"/>
    <n v="17.55"/>
    <n v="69.53"/>
    <n v="66.41"/>
    <n v="70.11"/>
  </r>
  <r>
    <s v="2024-09-14"/>
    <x v="11"/>
    <x v="8"/>
    <s v="ETH"/>
    <n v="461640384427.90997"/>
    <n v="18915.82"/>
    <n v="15679074255.9"/>
    <n v="18239718"/>
    <n v="21934898"/>
    <n v="22710212"/>
    <n v="20.52"/>
    <n v="-3.64"/>
    <n v="0.9"/>
    <n v="-31.1"/>
    <n v="55"/>
    <x v="3"/>
    <x v="1"/>
    <x v="1"/>
    <x v="9"/>
    <x v="1"/>
    <n v="54156"/>
    <n v="80.599999999999994"/>
    <n v="49.32"/>
    <n v="65.78"/>
    <n v="82.5"/>
  </r>
  <r>
    <s v="2024-09-09"/>
    <x v="11"/>
    <x v="2"/>
    <s v="ADA"/>
    <n v="884488739432.25"/>
    <n v="37568.85"/>
    <n v="29638256480.139999"/>
    <n v="2593072"/>
    <n v="7474956"/>
    <n v="7938891"/>
    <n v="3.29"/>
    <n v="0.08"/>
    <n v="-7.46"/>
    <n v="-2.92"/>
    <n v="171"/>
    <x v="4"/>
    <x v="4"/>
    <x v="1"/>
    <x v="5"/>
    <x v="1"/>
    <n v="37387"/>
    <n v="23.05"/>
    <n v="42.99"/>
    <n v="50.47"/>
    <n v="83.05"/>
  </r>
  <r>
    <s v="2024-09-08"/>
    <x v="11"/>
    <x v="1"/>
    <s v="BNB"/>
    <n v="426953223835.53998"/>
    <n v="69608.02"/>
    <n v="38568987579.269997"/>
    <n v="15881934"/>
    <n v="19448970"/>
    <n v="19897149"/>
    <n v="55.18"/>
    <n v="-4.1900000000000004"/>
    <n v="1.21"/>
    <n v="-37.770000000000003"/>
    <n v="26"/>
    <x v="1"/>
    <x v="4"/>
    <x v="1"/>
    <x v="6"/>
    <x v="1"/>
    <n v="9942"/>
    <n v="42.8"/>
    <n v="93.4"/>
    <n v="89.19"/>
    <n v="99.62"/>
  </r>
  <r>
    <s v="2024-01-27"/>
    <x v="2"/>
    <x v="7"/>
    <s v="AVAX"/>
    <n v="192115815482.03"/>
    <n v="43370.27"/>
    <n v="44516422913.839996"/>
    <n v="11736350"/>
    <n v="14277509"/>
    <n v="14416387"/>
    <n v="21.41"/>
    <n v="-3.24"/>
    <n v="9.32"/>
    <n v="39.6"/>
    <n v="156"/>
    <x v="2"/>
    <x v="0"/>
    <x v="1"/>
    <x v="1"/>
    <x v="1"/>
    <n v="28615"/>
    <n v="25.52"/>
    <n v="76.37"/>
    <n v="85.45"/>
    <n v="98.39"/>
  </r>
  <r>
    <s v="2024-07-18"/>
    <x v="0"/>
    <x v="3"/>
    <s v="SOL"/>
    <n v="213487844474.82001"/>
    <n v="6560.29"/>
    <n v="37953832189.199997"/>
    <n v="3387806"/>
    <n v="4769574"/>
    <n v="5553946"/>
    <n v="37.369999999999997"/>
    <n v="-2.89"/>
    <n v="1.45"/>
    <n v="16.82"/>
    <n v="19"/>
    <x v="0"/>
    <x v="3"/>
    <x v="2"/>
    <x v="2"/>
    <x v="1"/>
    <n v="15766"/>
    <n v="93.25"/>
    <n v="49.31"/>
    <n v="34.299999999999997"/>
    <n v="83.79"/>
  </r>
  <r>
    <s v="2024-04-22"/>
    <x v="8"/>
    <x v="4"/>
    <s v="DOT"/>
    <n v="603639022489.93005"/>
    <n v="64986.36"/>
    <n v="46818045164.169998"/>
    <n v="3904115"/>
    <n v="7856392"/>
    <n v="8223480"/>
    <n v="50.93"/>
    <n v="-0.93"/>
    <n v="1.38"/>
    <n v="13.24"/>
    <n v="68"/>
    <x v="1"/>
    <x v="4"/>
    <x v="0"/>
    <x v="12"/>
    <x v="1"/>
    <n v="5041"/>
    <n v="63.72"/>
    <n v="86.72"/>
    <n v="48.28"/>
    <n v="77.489999999999995"/>
  </r>
  <r>
    <s v="2024-05-03"/>
    <x v="6"/>
    <x v="2"/>
    <s v="ADA"/>
    <n v="60292981160.980003"/>
    <n v="20305.150000000001"/>
    <n v="3484793626.4299998"/>
    <n v="7186822"/>
    <n v="7901015"/>
    <n v="8125650"/>
    <n v="34.340000000000003"/>
    <n v="1.34"/>
    <n v="-17.78"/>
    <n v="25.43"/>
    <n v="15"/>
    <x v="0"/>
    <x v="1"/>
    <x v="4"/>
    <x v="9"/>
    <x v="1"/>
    <n v="11394"/>
    <n v="91.86"/>
    <n v="73.290000000000006"/>
    <n v="85.13"/>
    <n v="78.739999999999995"/>
  </r>
  <r>
    <s v="2024-09-30"/>
    <x v="11"/>
    <x v="2"/>
    <s v="ADA"/>
    <n v="546327814094.60999"/>
    <n v="12386.02"/>
    <n v="36692876998.029999"/>
    <n v="1974889"/>
    <n v="6829292"/>
    <n v="7169855"/>
    <n v="47.39"/>
    <n v="-3.62"/>
    <n v="19.95"/>
    <n v="17.02"/>
    <n v="12"/>
    <x v="0"/>
    <x v="4"/>
    <x v="0"/>
    <x v="12"/>
    <x v="1"/>
    <n v="11687"/>
    <n v="17.57"/>
    <n v="22.6"/>
    <n v="72.680000000000007"/>
    <n v="88.98"/>
  </r>
  <r>
    <s v="2024-03-23"/>
    <x v="9"/>
    <x v="1"/>
    <s v="BNB"/>
    <n v="724072139990.42004"/>
    <n v="57868.63"/>
    <n v="25432886058.450001"/>
    <n v="9421748"/>
    <n v="13372324"/>
    <n v="14333798"/>
    <n v="0.94"/>
    <n v="0.56999999999999995"/>
    <n v="15.39"/>
    <n v="-26.9"/>
    <n v="169"/>
    <x v="2"/>
    <x v="4"/>
    <x v="1"/>
    <x v="12"/>
    <x v="1"/>
    <n v="2257"/>
    <n v="76.040000000000006"/>
    <n v="76.88"/>
    <n v="89.11"/>
    <n v="95.51"/>
  </r>
  <r>
    <s v="2024-12-23"/>
    <x v="4"/>
    <x v="7"/>
    <s v="AVAX"/>
    <n v="861154746455.31995"/>
    <n v="30184.59"/>
    <n v="18134443456.009998"/>
    <n v="12439349"/>
    <n v="14336150"/>
    <n v="14665056"/>
    <n v="31.38"/>
    <n v="1.19"/>
    <n v="-15.5"/>
    <n v="-14.75"/>
    <n v="115"/>
    <x v="4"/>
    <x v="2"/>
    <x v="2"/>
    <x v="2"/>
    <x v="1"/>
    <n v="25931"/>
    <n v="16.55"/>
    <n v="20.190000000000001"/>
    <n v="76.459999999999994"/>
    <n v="43.76"/>
  </r>
  <r>
    <s v="2024-06-16"/>
    <x v="7"/>
    <x v="7"/>
    <s v="AVAX"/>
    <n v="822536742854.06995"/>
    <n v="55975.54"/>
    <n v="18509778480.34"/>
    <n v="17160385"/>
    <n v="21887132"/>
    <n v="22338272"/>
    <n v="9.09"/>
    <n v="3.49"/>
    <n v="-4.59"/>
    <n v="25.87"/>
    <n v="51"/>
    <x v="4"/>
    <x v="4"/>
    <x v="4"/>
    <x v="6"/>
    <x v="1"/>
    <n v="5607"/>
    <n v="37.049999999999997"/>
    <n v="96.92"/>
    <n v="12.19"/>
    <n v="39.81"/>
  </r>
  <r>
    <s v="2024-06-26"/>
    <x v="7"/>
    <x v="0"/>
    <s v="LTC"/>
    <n v="284388353115.63"/>
    <n v="43875.199999999997"/>
    <n v="43579094295.239998"/>
    <n v="2978084"/>
    <n v="7233434"/>
    <n v="7676086"/>
    <n v="30.81"/>
    <n v="-3.46"/>
    <n v="13.92"/>
    <n v="39.93"/>
    <n v="157"/>
    <x v="3"/>
    <x v="1"/>
    <x v="0"/>
    <x v="8"/>
    <x v="0"/>
    <n v="30534"/>
    <n v="80.55"/>
    <n v="90.66"/>
    <n v="86.76"/>
    <n v="76.59"/>
  </r>
  <r>
    <s v="2024-07-20"/>
    <x v="0"/>
    <x v="5"/>
    <s v="XRP"/>
    <n v="810908488571.70996"/>
    <n v="52167.99"/>
    <n v="31669336107.259998"/>
    <n v="15132621"/>
    <n v="15413464"/>
    <n v="16104492"/>
    <n v="42.82"/>
    <n v="-2.29"/>
    <n v="-16.670000000000002"/>
    <n v="1.84"/>
    <n v="45"/>
    <x v="4"/>
    <x v="1"/>
    <x v="3"/>
    <x v="8"/>
    <x v="2"/>
    <n v="26771"/>
    <n v="80.12"/>
    <n v="31.01"/>
    <n v="35.020000000000003"/>
    <n v="90.09"/>
  </r>
  <r>
    <s v="2024-12-14"/>
    <x v="4"/>
    <x v="2"/>
    <s v="ADA"/>
    <n v="858913821618.18994"/>
    <n v="64417.03"/>
    <n v="18413949638.990002"/>
    <n v="7964638"/>
    <n v="10829591"/>
    <n v="11432604"/>
    <n v="6.2"/>
    <n v="1.04"/>
    <n v="-0.82"/>
    <n v="-2.15"/>
    <n v="151"/>
    <x v="1"/>
    <x v="3"/>
    <x v="3"/>
    <x v="4"/>
    <x v="1"/>
    <n v="30668"/>
    <n v="38.32"/>
    <n v="37.32"/>
    <n v="85.35"/>
    <n v="98.56"/>
  </r>
  <r>
    <s v="2024-12-06"/>
    <x v="4"/>
    <x v="0"/>
    <s v="LTC"/>
    <n v="888088717750.84998"/>
    <n v="17029.72"/>
    <n v="43047228581.400002"/>
    <n v="8636526"/>
    <n v="9958735"/>
    <n v="10352935"/>
    <n v="58.59"/>
    <n v="-4.2"/>
    <n v="-9.66"/>
    <n v="-7.39"/>
    <n v="62"/>
    <x v="0"/>
    <x v="1"/>
    <x v="0"/>
    <x v="3"/>
    <x v="0"/>
    <n v="54312"/>
    <n v="72.95"/>
    <n v="59.54"/>
    <n v="93.82"/>
    <n v="82.79"/>
  </r>
  <r>
    <s v="2024-12-11"/>
    <x v="4"/>
    <x v="9"/>
    <s v="BTC"/>
    <n v="224548244747.28"/>
    <n v="34153.24"/>
    <n v="26975144101.849998"/>
    <n v="5798763"/>
    <n v="6469748"/>
    <n v="7384756"/>
    <n v="26.95"/>
    <n v="-2.38"/>
    <n v="-19.21"/>
    <n v="35.67"/>
    <n v="165"/>
    <x v="0"/>
    <x v="1"/>
    <x v="4"/>
    <x v="5"/>
    <x v="0"/>
    <n v="43017"/>
    <n v="99.56"/>
    <n v="45.71"/>
    <n v="80.38"/>
    <n v="95.66"/>
  </r>
  <r>
    <s v="2024-12-18"/>
    <x v="4"/>
    <x v="2"/>
    <s v="ADA"/>
    <n v="796903921484.48999"/>
    <n v="16281.97"/>
    <n v="40755319160.589996"/>
    <n v="17912178"/>
    <n v="18769442"/>
    <n v="19767759"/>
    <n v="36.21"/>
    <n v="-0.95"/>
    <n v="2.31"/>
    <n v="-3.9"/>
    <n v="150"/>
    <x v="1"/>
    <x v="1"/>
    <x v="4"/>
    <x v="3"/>
    <x v="1"/>
    <n v="39515"/>
    <n v="70.98"/>
    <n v="72.42"/>
    <n v="19.170000000000002"/>
    <n v="55.11"/>
  </r>
  <r>
    <s v="2024-05-31"/>
    <x v="6"/>
    <x v="2"/>
    <s v="ADA"/>
    <n v="212931931048.16"/>
    <n v="67693.5"/>
    <n v="46055549188.989998"/>
    <n v="8562216"/>
    <n v="9034023"/>
    <n v="9872231"/>
    <n v="35.479999999999997"/>
    <n v="0.7"/>
    <n v="11.79"/>
    <n v="-14.52"/>
    <n v="73"/>
    <x v="2"/>
    <x v="1"/>
    <x v="4"/>
    <x v="0"/>
    <x v="1"/>
    <n v="50189"/>
    <n v="21.48"/>
    <n v="43.52"/>
    <n v="89.32"/>
    <n v="38.65"/>
  </r>
  <r>
    <s v="2024-04-10"/>
    <x v="8"/>
    <x v="7"/>
    <s v="AVAX"/>
    <n v="532663144819.19"/>
    <n v="23836.19"/>
    <n v="41291683268.010002"/>
    <n v="7267792"/>
    <n v="12174327"/>
    <n v="12454161"/>
    <n v="15.21"/>
    <n v="0.68"/>
    <n v="-7.87"/>
    <n v="-12.42"/>
    <n v="118"/>
    <x v="0"/>
    <x v="4"/>
    <x v="4"/>
    <x v="11"/>
    <x v="1"/>
    <n v="32904"/>
    <n v="51.53"/>
    <n v="48.38"/>
    <n v="24.97"/>
    <n v="31.44"/>
  </r>
  <r>
    <s v="2024-10-26"/>
    <x v="10"/>
    <x v="5"/>
    <s v="XRP"/>
    <n v="513178166438.45001"/>
    <n v="68656.639999999999"/>
    <n v="27877017109.970001"/>
    <n v="18919924"/>
    <n v="21569907"/>
    <n v="21720027"/>
    <n v="30.72"/>
    <n v="0.99"/>
    <n v="14.87"/>
    <n v="-32.86"/>
    <n v="98"/>
    <x v="4"/>
    <x v="4"/>
    <x v="2"/>
    <x v="3"/>
    <x v="2"/>
    <n v="25468"/>
    <n v="68.45"/>
    <n v="96.32"/>
    <n v="10.56"/>
    <n v="47.6"/>
  </r>
  <r>
    <s v="2024-01-17"/>
    <x v="2"/>
    <x v="0"/>
    <s v="LTC"/>
    <n v="10269639430.9"/>
    <n v="25376.63"/>
    <n v="22775576064.330002"/>
    <n v="7270377"/>
    <n v="10400452"/>
    <n v="11266236"/>
    <n v="42.49"/>
    <n v="2.27"/>
    <n v="12.09"/>
    <n v="25.3"/>
    <n v="170"/>
    <x v="2"/>
    <x v="1"/>
    <x v="2"/>
    <x v="2"/>
    <x v="0"/>
    <n v="6941"/>
    <n v="48.46"/>
    <n v="75.400000000000006"/>
    <n v="34.47"/>
    <n v="28.9"/>
  </r>
  <r>
    <s v="2024-09-07"/>
    <x v="11"/>
    <x v="7"/>
    <s v="AVAX"/>
    <n v="681505303737.79004"/>
    <n v="63253.95"/>
    <n v="39373988315.900002"/>
    <n v="16274021"/>
    <n v="20214175"/>
    <n v="20797546"/>
    <n v="17.11"/>
    <n v="2.64"/>
    <n v="17.850000000000001"/>
    <n v="-18.989999999999998"/>
    <n v="122"/>
    <x v="2"/>
    <x v="4"/>
    <x v="1"/>
    <x v="4"/>
    <x v="1"/>
    <n v="59411"/>
    <n v="57.58"/>
    <n v="90.9"/>
    <n v="52.23"/>
    <n v="90.03"/>
  </r>
  <r>
    <s v="2024-07-22"/>
    <x v="0"/>
    <x v="1"/>
    <s v="BNB"/>
    <n v="543169874717.16998"/>
    <n v="24389.07"/>
    <n v="12264584752.299999"/>
    <n v="10611497"/>
    <n v="14632809"/>
    <n v="15361610"/>
    <n v="54"/>
    <n v="0.31"/>
    <n v="-10.130000000000001"/>
    <n v="9.42"/>
    <n v="14"/>
    <x v="1"/>
    <x v="3"/>
    <x v="3"/>
    <x v="7"/>
    <x v="1"/>
    <n v="36923"/>
    <n v="34.659999999999997"/>
    <n v="42.48"/>
    <n v="72.27"/>
    <n v="22.85"/>
  </r>
  <r>
    <s v="2024-10-22"/>
    <x v="10"/>
    <x v="7"/>
    <s v="AVAX"/>
    <n v="13821297929.75"/>
    <n v="61448"/>
    <n v="22959818973.049999"/>
    <n v="4565391"/>
    <n v="9547052"/>
    <n v="9865043"/>
    <n v="2.5099999999999998"/>
    <n v="2.34"/>
    <n v="-0.86"/>
    <n v="20.12"/>
    <n v="71"/>
    <x v="1"/>
    <x v="0"/>
    <x v="2"/>
    <x v="2"/>
    <x v="1"/>
    <n v="27404"/>
    <n v="45.55"/>
    <n v="93.33"/>
    <n v="83.91"/>
    <n v="24.26"/>
  </r>
  <r>
    <s v="2024-06-20"/>
    <x v="7"/>
    <x v="9"/>
    <s v="BTC"/>
    <n v="752976852458.97998"/>
    <n v="22917.35"/>
    <n v="36706518148.980003"/>
    <n v="12038981"/>
    <n v="12250038"/>
    <n v="12543197"/>
    <n v="36.950000000000003"/>
    <n v="-0.42"/>
    <n v="-1.1399999999999999"/>
    <n v="27.33"/>
    <n v="47"/>
    <x v="3"/>
    <x v="1"/>
    <x v="3"/>
    <x v="11"/>
    <x v="0"/>
    <n v="26167"/>
    <n v="44.75"/>
    <n v="56.72"/>
    <n v="24.27"/>
    <n v="63.39"/>
  </r>
  <r>
    <s v="2024-11-19"/>
    <x v="3"/>
    <x v="8"/>
    <s v="ETH"/>
    <n v="839732941027.18994"/>
    <n v="64322.45"/>
    <n v="49650394563.919998"/>
    <n v="14618284"/>
    <n v="14772327"/>
    <n v="15108085"/>
    <n v="40.19"/>
    <n v="4.6399999999999997"/>
    <n v="1.71"/>
    <n v="-15.23"/>
    <n v="49"/>
    <x v="2"/>
    <x v="1"/>
    <x v="1"/>
    <x v="6"/>
    <x v="1"/>
    <n v="64643"/>
    <n v="36.61"/>
    <n v="53.48"/>
    <n v="62.47"/>
    <n v="29.1"/>
  </r>
  <r>
    <s v="2024-08-02"/>
    <x v="5"/>
    <x v="6"/>
    <s v="DOGE"/>
    <n v="809310399170.89001"/>
    <n v="12273.44"/>
    <n v="1499355044.6800001"/>
    <n v="7556422"/>
    <n v="11204258"/>
    <n v="11847510"/>
    <n v="36.17"/>
    <n v="0.21"/>
    <n v="19.63"/>
    <n v="13.94"/>
    <n v="191"/>
    <x v="4"/>
    <x v="1"/>
    <x v="1"/>
    <x v="10"/>
    <x v="0"/>
    <n v="16992"/>
    <n v="71.23"/>
    <n v="66.150000000000006"/>
    <n v="35.619999999999997"/>
    <n v="95.96"/>
  </r>
  <r>
    <s v="2024-03-03"/>
    <x v="9"/>
    <x v="8"/>
    <s v="ETH"/>
    <n v="253227079552.82001"/>
    <n v="55804.91"/>
    <n v="31871061246.91"/>
    <n v="1462677"/>
    <n v="5667489"/>
    <n v="6625221"/>
    <n v="38.35"/>
    <n v="0.92"/>
    <n v="13.5"/>
    <n v="-9.26"/>
    <n v="188"/>
    <x v="2"/>
    <x v="1"/>
    <x v="4"/>
    <x v="4"/>
    <x v="1"/>
    <n v="2492"/>
    <n v="51.57"/>
    <n v="71.42"/>
    <n v="79.97"/>
    <n v="76.59"/>
  </r>
  <r>
    <s v="2024-12-25"/>
    <x v="4"/>
    <x v="2"/>
    <s v="ADA"/>
    <n v="668960649015.04004"/>
    <n v="16169.19"/>
    <n v="40891343770.809998"/>
    <n v="4152533"/>
    <n v="6522195"/>
    <n v="7138036"/>
    <n v="22.16"/>
    <n v="0.25"/>
    <n v="-17.649999999999999"/>
    <n v="-38.25"/>
    <n v="97"/>
    <x v="0"/>
    <x v="1"/>
    <x v="2"/>
    <x v="12"/>
    <x v="1"/>
    <n v="25904"/>
    <n v="54.12"/>
    <n v="24.2"/>
    <n v="59.19"/>
    <n v="71.02"/>
  </r>
  <r>
    <s v="2024-02-23"/>
    <x v="1"/>
    <x v="3"/>
    <s v="SOL"/>
    <n v="11592325402.030001"/>
    <n v="66919.16"/>
    <n v="16740598176.77"/>
    <n v="8978495"/>
    <n v="11510549"/>
    <n v="12378585"/>
    <n v="39.46"/>
    <n v="-1.7"/>
    <n v="-8.74"/>
    <n v="-2.8"/>
    <n v="105"/>
    <x v="0"/>
    <x v="1"/>
    <x v="0"/>
    <x v="11"/>
    <x v="1"/>
    <n v="326"/>
    <n v="47.33"/>
    <n v="99.3"/>
    <n v="41.36"/>
    <n v="18.14"/>
  </r>
  <r>
    <s v="2024-08-24"/>
    <x v="5"/>
    <x v="6"/>
    <s v="DOGE"/>
    <n v="674381626073.95996"/>
    <n v="57070.080000000002"/>
    <n v="2485672495.8499999"/>
    <n v="8920964"/>
    <n v="11506669"/>
    <n v="12087602"/>
    <n v="31.75"/>
    <n v="-2.92"/>
    <n v="4.7"/>
    <n v="-38.840000000000003"/>
    <n v="103"/>
    <x v="1"/>
    <x v="1"/>
    <x v="4"/>
    <x v="7"/>
    <x v="0"/>
    <n v="50303"/>
    <n v="11.66"/>
    <n v="31.56"/>
    <n v="28.15"/>
    <n v="39.93"/>
  </r>
  <r>
    <s v="2024-06-21"/>
    <x v="7"/>
    <x v="0"/>
    <s v="LTC"/>
    <n v="30302190446.240002"/>
    <n v="30129.59"/>
    <n v="26622170131.84"/>
    <n v="8273931"/>
    <n v="11827254"/>
    <n v="12376255"/>
    <n v="31.68"/>
    <n v="-3.2"/>
    <n v="10.52"/>
    <n v="-8.93"/>
    <n v="28"/>
    <x v="4"/>
    <x v="3"/>
    <x v="3"/>
    <x v="8"/>
    <x v="0"/>
    <n v="34306"/>
    <n v="47.73"/>
    <n v="62.92"/>
    <n v="45.72"/>
    <n v="20.64"/>
  </r>
  <r>
    <s v="2024-02-03"/>
    <x v="1"/>
    <x v="7"/>
    <s v="AVAX"/>
    <n v="324280192460.81"/>
    <n v="60192.73"/>
    <n v="41527605844.290001"/>
    <n v="3556044"/>
    <n v="3804113"/>
    <n v="3851922"/>
    <n v="46.47"/>
    <n v="2.38"/>
    <n v="-18.37"/>
    <n v="23.82"/>
    <n v="155"/>
    <x v="0"/>
    <x v="1"/>
    <x v="2"/>
    <x v="5"/>
    <x v="1"/>
    <n v="62152"/>
    <n v="54.35"/>
    <n v="94.57"/>
    <n v="85.24"/>
    <n v="27.99"/>
  </r>
  <r>
    <s v="2024-08-17"/>
    <x v="5"/>
    <x v="1"/>
    <s v="BNB"/>
    <n v="71594728677.410004"/>
    <n v="67298.13"/>
    <n v="17896503045.209999"/>
    <n v="14524474"/>
    <n v="15215191"/>
    <n v="16181627"/>
    <n v="47.92"/>
    <n v="1.95"/>
    <n v="-9.27"/>
    <n v="-6.31"/>
    <n v="13"/>
    <x v="2"/>
    <x v="2"/>
    <x v="3"/>
    <x v="0"/>
    <x v="1"/>
    <n v="12680"/>
    <n v="25.7"/>
    <n v="77.55"/>
    <n v="97.03"/>
    <n v="31.48"/>
  </r>
  <r>
    <s v="2024-05-05"/>
    <x v="6"/>
    <x v="1"/>
    <s v="BNB"/>
    <n v="796727027364.18994"/>
    <n v="62657.82"/>
    <n v="12473257975.610001"/>
    <n v="17549132"/>
    <n v="21586658"/>
    <n v="22087774"/>
    <n v="24.01"/>
    <n v="-3.19"/>
    <n v="14.86"/>
    <n v="-17.82"/>
    <n v="21"/>
    <x v="2"/>
    <x v="3"/>
    <x v="0"/>
    <x v="3"/>
    <x v="1"/>
    <n v="53982"/>
    <n v="67.010000000000005"/>
    <n v="71.28"/>
    <n v="39.479999999999997"/>
    <n v="18.829999999999998"/>
  </r>
  <r>
    <s v="2024-06-26"/>
    <x v="7"/>
    <x v="4"/>
    <s v="DOT"/>
    <n v="671176279833.23999"/>
    <n v="11636.98"/>
    <n v="6531491097.1899996"/>
    <n v="13106006"/>
    <n v="15549799"/>
    <n v="15817406"/>
    <n v="56.18"/>
    <n v="1.77"/>
    <n v="5.74"/>
    <n v="28.3"/>
    <n v="149"/>
    <x v="3"/>
    <x v="0"/>
    <x v="4"/>
    <x v="2"/>
    <x v="1"/>
    <n v="8772"/>
    <n v="85.12"/>
    <n v="61.54"/>
    <n v="19.989999999999998"/>
    <n v="42.65"/>
  </r>
  <r>
    <s v="2024-10-25"/>
    <x v="10"/>
    <x v="9"/>
    <s v="BTC"/>
    <n v="453451929489.98999"/>
    <n v="63484.09"/>
    <n v="21129032073.540001"/>
    <n v="3610422"/>
    <n v="8495428"/>
    <n v="9327857"/>
    <n v="41.73"/>
    <n v="0.38"/>
    <n v="9.44"/>
    <n v="15.44"/>
    <n v="42"/>
    <x v="2"/>
    <x v="1"/>
    <x v="1"/>
    <x v="2"/>
    <x v="0"/>
    <n v="34542"/>
    <n v="53.85"/>
    <n v="54.98"/>
    <n v="64"/>
    <n v="54.28"/>
  </r>
  <r>
    <s v="2024-01-13"/>
    <x v="2"/>
    <x v="0"/>
    <s v="LTC"/>
    <n v="352846835679.09998"/>
    <n v="37869.629999999997"/>
    <n v="8291921351.9899998"/>
    <n v="12571357"/>
    <n v="16852013"/>
    <n v="17737231"/>
    <n v="16.809999999999999"/>
    <n v="-0.77"/>
    <n v="-4.41"/>
    <n v="-22.59"/>
    <n v="57"/>
    <x v="2"/>
    <x v="0"/>
    <x v="1"/>
    <x v="5"/>
    <x v="0"/>
    <n v="25177"/>
    <n v="64.81"/>
    <n v="74.599999999999994"/>
    <n v="65.959999999999994"/>
    <n v="11.43"/>
  </r>
  <r>
    <s v="2024-05-27"/>
    <x v="6"/>
    <x v="0"/>
    <s v="LTC"/>
    <n v="885614371140.43994"/>
    <n v="41302.160000000003"/>
    <n v="951510109.33000004"/>
    <n v="17764545"/>
    <n v="19608638"/>
    <n v="19955387"/>
    <n v="55.48"/>
    <n v="-2.29"/>
    <n v="17.86"/>
    <n v="-16.079999999999998"/>
    <n v="105"/>
    <x v="1"/>
    <x v="0"/>
    <x v="1"/>
    <x v="4"/>
    <x v="0"/>
    <n v="4168"/>
    <n v="13.52"/>
    <n v="87.12"/>
    <n v="76.44"/>
    <n v="38.590000000000003"/>
  </r>
  <r>
    <s v="2024-07-31"/>
    <x v="0"/>
    <x v="7"/>
    <s v="AVAX"/>
    <n v="222927799697.17001"/>
    <n v="24688.16"/>
    <n v="34075108631.650002"/>
    <n v="2819962"/>
    <n v="6683927"/>
    <n v="6918893"/>
    <n v="5.19"/>
    <n v="-1.34"/>
    <n v="-8.36"/>
    <n v="-19.809999999999999"/>
    <n v="187"/>
    <x v="0"/>
    <x v="0"/>
    <x v="0"/>
    <x v="3"/>
    <x v="1"/>
    <n v="48303"/>
    <n v="64.569999999999993"/>
    <n v="91.8"/>
    <n v="85.07"/>
    <n v="88.89"/>
  </r>
  <r>
    <s v="2024-11-21"/>
    <x v="3"/>
    <x v="4"/>
    <s v="DOT"/>
    <n v="479062428952.84003"/>
    <n v="34776.160000000003"/>
    <n v="4753254565.29"/>
    <n v="17352391"/>
    <n v="22322324"/>
    <n v="22969199"/>
    <n v="47.74"/>
    <n v="2.68"/>
    <n v="-18.66"/>
    <n v="17.190000000000001"/>
    <n v="130"/>
    <x v="2"/>
    <x v="1"/>
    <x v="3"/>
    <x v="1"/>
    <x v="1"/>
    <n v="28428"/>
    <n v="29.98"/>
    <n v="82.49"/>
    <n v="36.79"/>
    <n v="66.290000000000006"/>
  </r>
  <r>
    <s v="2024-01-15"/>
    <x v="2"/>
    <x v="8"/>
    <s v="ETH"/>
    <n v="820142245615.32996"/>
    <n v="68741.02"/>
    <n v="23359781630.720001"/>
    <n v="18274322"/>
    <n v="20363665"/>
    <n v="21069516"/>
    <n v="23.6"/>
    <n v="-2.93"/>
    <n v="6.78"/>
    <n v="-23"/>
    <n v="61"/>
    <x v="4"/>
    <x v="2"/>
    <x v="1"/>
    <x v="4"/>
    <x v="1"/>
    <n v="21134"/>
    <n v="41.61"/>
    <n v="61.39"/>
    <n v="49.09"/>
    <n v="42.85"/>
  </r>
  <r>
    <s v="2024-09-30"/>
    <x v="11"/>
    <x v="5"/>
    <s v="XRP"/>
    <n v="475628738746.57001"/>
    <n v="19900.990000000002"/>
    <n v="31243082261.389999"/>
    <n v="10968164"/>
    <n v="13750804"/>
    <n v="14437261"/>
    <n v="47.38"/>
    <n v="-1.81"/>
    <n v="-14.97"/>
    <n v="-38.89"/>
    <n v="14"/>
    <x v="3"/>
    <x v="2"/>
    <x v="2"/>
    <x v="2"/>
    <x v="2"/>
    <n v="2348"/>
    <n v="94.62"/>
    <n v="67.03"/>
    <n v="75.86"/>
    <n v="94.03"/>
  </r>
  <r>
    <s v="2024-11-28"/>
    <x v="3"/>
    <x v="6"/>
    <s v="DOGE"/>
    <n v="556170241177.47998"/>
    <n v="56226.67"/>
    <n v="44507652072.5"/>
    <n v="5138715"/>
    <n v="6856553"/>
    <n v="7188493"/>
    <n v="9.82"/>
    <n v="-0.87"/>
    <n v="15.13"/>
    <n v="-2.96"/>
    <n v="27"/>
    <x v="2"/>
    <x v="4"/>
    <x v="3"/>
    <x v="12"/>
    <x v="0"/>
    <n v="50919"/>
    <n v="45.29"/>
    <n v="53.99"/>
    <n v="73.12"/>
    <n v="99.77"/>
  </r>
  <r>
    <s v="2024-06-11"/>
    <x v="7"/>
    <x v="7"/>
    <s v="AVAX"/>
    <n v="708855615213.33997"/>
    <n v="21958.87"/>
    <n v="8061882650.1000004"/>
    <n v="1390463"/>
    <n v="5344136"/>
    <n v="6135230"/>
    <n v="3.49"/>
    <n v="2.85"/>
    <n v="16.48"/>
    <n v="-36.619999999999997"/>
    <n v="125"/>
    <x v="4"/>
    <x v="4"/>
    <x v="1"/>
    <x v="11"/>
    <x v="1"/>
    <n v="42783"/>
    <n v="61.53"/>
    <n v="68.459999999999994"/>
    <n v="53.82"/>
    <n v="82.7"/>
  </r>
  <r>
    <s v="2024-09-07"/>
    <x v="11"/>
    <x v="9"/>
    <s v="BTC"/>
    <n v="769590004142.94995"/>
    <n v="24500.29"/>
    <n v="29980439742.98"/>
    <n v="7936234"/>
    <n v="9820929"/>
    <n v="9977936"/>
    <n v="23.83"/>
    <n v="-2.02"/>
    <n v="6.6"/>
    <n v="-13.22"/>
    <n v="57"/>
    <x v="0"/>
    <x v="4"/>
    <x v="0"/>
    <x v="6"/>
    <x v="0"/>
    <n v="56527"/>
    <n v="19.899999999999999"/>
    <n v="92.54"/>
    <n v="40.5"/>
    <n v="60.92"/>
  </r>
  <r>
    <s v="2024-12-02"/>
    <x v="4"/>
    <x v="8"/>
    <s v="ETH"/>
    <n v="693529702833.56995"/>
    <n v="17379.330000000002"/>
    <n v="31433338078.130001"/>
    <n v="6244609"/>
    <n v="6932323"/>
    <n v="7247693"/>
    <n v="57.97"/>
    <n v="2.52"/>
    <n v="-5.94"/>
    <n v="-21.46"/>
    <n v="110"/>
    <x v="2"/>
    <x v="4"/>
    <x v="1"/>
    <x v="3"/>
    <x v="1"/>
    <n v="57596"/>
    <n v="36.770000000000003"/>
    <n v="58.9"/>
    <n v="51.58"/>
    <n v="27.33"/>
  </r>
  <r>
    <s v="2024-05-12"/>
    <x v="6"/>
    <x v="2"/>
    <s v="ADA"/>
    <n v="364594190996.28998"/>
    <n v="23166.89"/>
    <n v="49767779323.529999"/>
    <n v="7468640"/>
    <n v="11984128"/>
    <n v="12697857"/>
    <n v="58.64"/>
    <n v="-2.72"/>
    <n v="-19.96"/>
    <n v="-22.03"/>
    <n v="84"/>
    <x v="1"/>
    <x v="0"/>
    <x v="1"/>
    <x v="7"/>
    <x v="1"/>
    <n v="20132"/>
    <n v="28.59"/>
    <n v="92.78"/>
    <n v="54.5"/>
    <n v="39.68"/>
  </r>
  <r>
    <s v="2024-02-15"/>
    <x v="1"/>
    <x v="0"/>
    <s v="LTC"/>
    <n v="703034019534.56995"/>
    <n v="14808.38"/>
    <n v="41316150086.849998"/>
    <n v="13088473"/>
    <n v="15204582"/>
    <n v="15746527"/>
    <n v="10.9"/>
    <n v="-3.85"/>
    <n v="-10.91"/>
    <n v="-30.15"/>
    <n v="52"/>
    <x v="1"/>
    <x v="1"/>
    <x v="4"/>
    <x v="1"/>
    <x v="0"/>
    <n v="52047"/>
    <n v="35.28"/>
    <n v="97.38"/>
    <n v="72.819999999999993"/>
    <n v="41.46"/>
  </r>
  <r>
    <s v="2024-05-04"/>
    <x v="6"/>
    <x v="0"/>
    <s v="LTC"/>
    <n v="581637489161.23999"/>
    <n v="62431.77"/>
    <n v="288234953.98000002"/>
    <n v="8789832"/>
    <n v="9369537"/>
    <n v="10155411"/>
    <n v="1.58"/>
    <n v="-0.1"/>
    <n v="5.24"/>
    <n v="-36.630000000000003"/>
    <n v="153"/>
    <x v="3"/>
    <x v="1"/>
    <x v="0"/>
    <x v="10"/>
    <x v="0"/>
    <n v="60737"/>
    <n v="68.510000000000005"/>
    <n v="61.89"/>
    <n v="28.34"/>
    <n v="73.040000000000006"/>
  </r>
  <r>
    <s v="2024-02-26"/>
    <x v="1"/>
    <x v="1"/>
    <s v="BNB"/>
    <n v="359742544630.15997"/>
    <n v="60405.43"/>
    <n v="27198059124.459999"/>
    <n v="10148368"/>
    <n v="13114760"/>
    <n v="13467431"/>
    <n v="52.82"/>
    <n v="2.66"/>
    <n v="9.2100000000000009"/>
    <n v="4.74"/>
    <n v="53"/>
    <x v="3"/>
    <x v="2"/>
    <x v="3"/>
    <x v="8"/>
    <x v="1"/>
    <n v="58057"/>
    <n v="41.16"/>
    <n v="74.599999999999994"/>
    <n v="43.33"/>
    <n v="81.41"/>
  </r>
  <r>
    <s v="2024-02-14"/>
    <x v="1"/>
    <x v="1"/>
    <s v="BNB"/>
    <n v="283567245870.12"/>
    <n v="61981.71"/>
    <n v="15136161664.15"/>
    <n v="14546375"/>
    <n v="14680996"/>
    <n v="15373233"/>
    <n v="27.46"/>
    <n v="0.22"/>
    <n v="-16.34"/>
    <n v="-2.19"/>
    <n v="160"/>
    <x v="2"/>
    <x v="4"/>
    <x v="2"/>
    <x v="10"/>
    <x v="1"/>
    <n v="12383"/>
    <n v="47.67"/>
    <n v="55.87"/>
    <n v="23.21"/>
    <n v="96.16"/>
  </r>
  <r>
    <s v="2024-08-29"/>
    <x v="5"/>
    <x v="2"/>
    <s v="ADA"/>
    <n v="714703284386.35999"/>
    <n v="24231.69"/>
    <n v="21205029873.77"/>
    <n v="12008865"/>
    <n v="13641686"/>
    <n v="13949060"/>
    <n v="41.93"/>
    <n v="-2.09"/>
    <n v="-15.14"/>
    <n v="-29.46"/>
    <n v="110"/>
    <x v="3"/>
    <x v="1"/>
    <x v="0"/>
    <x v="3"/>
    <x v="1"/>
    <n v="15397"/>
    <n v="74.03"/>
    <n v="26.35"/>
    <n v="25.38"/>
    <n v="14.07"/>
  </r>
  <r>
    <s v="2024-05-26"/>
    <x v="6"/>
    <x v="4"/>
    <s v="DOT"/>
    <n v="381956666242.40002"/>
    <n v="45575.41"/>
    <n v="6809952587.8500004"/>
    <n v="4620340"/>
    <n v="7605390"/>
    <n v="7732691"/>
    <n v="14.27"/>
    <n v="-2.19"/>
    <n v="-12.46"/>
    <n v="5.45"/>
    <n v="63"/>
    <x v="2"/>
    <x v="4"/>
    <x v="3"/>
    <x v="5"/>
    <x v="1"/>
    <n v="46210"/>
    <n v="97.01"/>
    <n v="25.46"/>
    <n v="80.66"/>
    <n v="76.95"/>
  </r>
  <r>
    <s v="2024-06-27"/>
    <x v="7"/>
    <x v="5"/>
    <s v="XRP"/>
    <n v="776959087447.64001"/>
    <n v="27497.7"/>
    <n v="41439182771.459999"/>
    <n v="8842553"/>
    <n v="11481660"/>
    <n v="12033208"/>
    <n v="22.52"/>
    <n v="1.83"/>
    <n v="-17.04"/>
    <n v="27.82"/>
    <n v="173"/>
    <x v="3"/>
    <x v="4"/>
    <x v="2"/>
    <x v="1"/>
    <x v="2"/>
    <n v="63837"/>
    <n v="57.76"/>
    <n v="50.56"/>
    <n v="93.69"/>
    <n v="97.21"/>
  </r>
  <r>
    <s v="2024-07-09"/>
    <x v="0"/>
    <x v="5"/>
    <s v="XRP"/>
    <n v="432217287703.15997"/>
    <n v="49613.84"/>
    <n v="17437379608.439999"/>
    <n v="17313784"/>
    <n v="20228668"/>
    <n v="20429831"/>
    <n v="24.55"/>
    <n v="0.97"/>
    <n v="2.78"/>
    <n v="-29.63"/>
    <n v="173"/>
    <x v="0"/>
    <x v="3"/>
    <x v="3"/>
    <x v="4"/>
    <x v="2"/>
    <n v="18608"/>
    <n v="68.11"/>
    <n v="98.74"/>
    <n v="83.49"/>
    <n v="37.43"/>
  </r>
  <r>
    <s v="2024-02-12"/>
    <x v="1"/>
    <x v="2"/>
    <s v="ADA"/>
    <n v="723463318578.78003"/>
    <n v="15055.9"/>
    <n v="16011970930.01"/>
    <n v="4784044"/>
    <n v="9464010"/>
    <n v="10220799"/>
    <n v="55.79"/>
    <n v="0.08"/>
    <n v="-10.85"/>
    <n v="19.600000000000001"/>
    <n v="160"/>
    <x v="3"/>
    <x v="2"/>
    <x v="1"/>
    <x v="13"/>
    <x v="1"/>
    <n v="564"/>
    <n v="94.93"/>
    <n v="46.27"/>
    <n v="85.3"/>
    <n v="78.22"/>
  </r>
  <r>
    <s v="2024-03-24"/>
    <x v="9"/>
    <x v="9"/>
    <s v="BTC"/>
    <n v="164887155730.60999"/>
    <n v="34846.519999999997"/>
    <n v="13177749049.68"/>
    <n v="13097122"/>
    <n v="17918110"/>
    <n v="18071897"/>
    <n v="12.98"/>
    <n v="-4.46"/>
    <n v="18.97"/>
    <n v="37.61"/>
    <n v="179"/>
    <x v="4"/>
    <x v="1"/>
    <x v="4"/>
    <x v="6"/>
    <x v="0"/>
    <n v="53365"/>
    <n v="13.98"/>
    <n v="35.950000000000003"/>
    <n v="34.57"/>
    <n v="89.91"/>
  </r>
  <r>
    <s v="2024-06-03"/>
    <x v="7"/>
    <x v="2"/>
    <s v="ADA"/>
    <n v="774590914153.88"/>
    <n v="32597.35"/>
    <n v="35109855108.889999"/>
    <n v="7890420"/>
    <n v="12311502"/>
    <n v="12943863"/>
    <n v="45.35"/>
    <n v="3.05"/>
    <n v="1.76"/>
    <n v="-8.8800000000000008"/>
    <n v="122"/>
    <x v="4"/>
    <x v="3"/>
    <x v="1"/>
    <x v="9"/>
    <x v="1"/>
    <n v="56162"/>
    <n v="11.05"/>
    <n v="69.48"/>
    <n v="72.92"/>
    <n v="38.020000000000003"/>
  </r>
  <r>
    <s v="2024-09-13"/>
    <x v="11"/>
    <x v="0"/>
    <s v="LTC"/>
    <n v="183844040709.67001"/>
    <n v="33792.93"/>
    <n v="699526179.79999995"/>
    <n v="2394119"/>
    <n v="2653545"/>
    <n v="2670443"/>
    <n v="20.22"/>
    <n v="-3.88"/>
    <n v="-3.96"/>
    <n v="27.47"/>
    <n v="28"/>
    <x v="0"/>
    <x v="1"/>
    <x v="0"/>
    <x v="4"/>
    <x v="0"/>
    <n v="30545"/>
    <n v="18.25"/>
    <n v="90.32"/>
    <n v="41.62"/>
    <n v="89.36"/>
  </r>
  <r>
    <s v="2024-01-11"/>
    <x v="2"/>
    <x v="6"/>
    <s v="DOGE"/>
    <n v="668592048326.05005"/>
    <n v="34431.129999999997"/>
    <n v="47228438489.669998"/>
    <n v="11486321"/>
    <n v="12945902"/>
    <n v="13493411"/>
    <n v="5.98"/>
    <n v="-3.72"/>
    <n v="7.77"/>
    <n v="-0.69"/>
    <n v="175"/>
    <x v="2"/>
    <x v="0"/>
    <x v="3"/>
    <x v="11"/>
    <x v="0"/>
    <n v="21528"/>
    <n v="49.91"/>
    <n v="73.58"/>
    <n v="35.71"/>
    <n v="95.59"/>
  </r>
  <r>
    <s v="2024-07-31"/>
    <x v="0"/>
    <x v="7"/>
    <s v="AVAX"/>
    <n v="16038508415.559999"/>
    <n v="49601.59"/>
    <n v="9026833660.6700001"/>
    <n v="12388372"/>
    <n v="13510403"/>
    <n v="14321555"/>
    <n v="1.25"/>
    <n v="-0.37"/>
    <n v="17.739999999999998"/>
    <n v="-15.62"/>
    <n v="170"/>
    <x v="1"/>
    <x v="4"/>
    <x v="1"/>
    <x v="9"/>
    <x v="1"/>
    <n v="11891"/>
    <n v="80.88"/>
    <n v="64.459999999999994"/>
    <n v="87.37"/>
    <n v="43.52"/>
  </r>
  <r>
    <s v="2024-05-07"/>
    <x v="6"/>
    <x v="1"/>
    <s v="BNB"/>
    <n v="517883135825.13"/>
    <n v="39719.39"/>
    <n v="11619389835.940001"/>
    <n v="11180648"/>
    <n v="11803185"/>
    <n v="12420012"/>
    <n v="21.48"/>
    <n v="1.52"/>
    <n v="-4.54"/>
    <n v="12.26"/>
    <n v="161"/>
    <x v="2"/>
    <x v="1"/>
    <x v="1"/>
    <x v="5"/>
    <x v="1"/>
    <n v="591"/>
    <n v="45.12"/>
    <n v="72.900000000000006"/>
    <n v="20.65"/>
    <n v="15.29"/>
  </r>
  <r>
    <s v="2024-04-27"/>
    <x v="8"/>
    <x v="1"/>
    <s v="BNB"/>
    <n v="866617615510.19995"/>
    <n v="34249.089999999997"/>
    <n v="23097144494.57"/>
    <n v="9762446"/>
    <n v="10954445"/>
    <n v="11779569"/>
    <n v="58.32"/>
    <n v="1.9"/>
    <n v="-1.91"/>
    <n v="-15.8"/>
    <n v="27"/>
    <x v="2"/>
    <x v="2"/>
    <x v="2"/>
    <x v="1"/>
    <x v="1"/>
    <n v="30898"/>
    <n v="21.81"/>
    <n v="97.21"/>
    <n v="90.54"/>
    <n v="96.43"/>
  </r>
  <r>
    <s v="2024-07-09"/>
    <x v="0"/>
    <x v="0"/>
    <s v="LTC"/>
    <n v="261217729259.32999"/>
    <n v="17994.22"/>
    <n v="36325609749.419998"/>
    <n v="10197133"/>
    <n v="12088520"/>
    <n v="12238136"/>
    <n v="37.81"/>
    <n v="-0.72"/>
    <n v="-15.31"/>
    <n v="4.95"/>
    <n v="102"/>
    <x v="0"/>
    <x v="2"/>
    <x v="1"/>
    <x v="5"/>
    <x v="0"/>
    <n v="35363"/>
    <n v="52.48"/>
    <n v="67.540000000000006"/>
    <n v="25.16"/>
    <n v="79.209999999999994"/>
  </r>
  <r>
    <s v="2024-02-24"/>
    <x v="1"/>
    <x v="6"/>
    <s v="DOGE"/>
    <n v="11426397715.41"/>
    <n v="37525.72"/>
    <n v="14342243961.450001"/>
    <n v="1424741"/>
    <n v="4132663"/>
    <n v="4472895"/>
    <n v="18.149999999999999"/>
    <n v="0.33"/>
    <n v="4.1399999999999997"/>
    <n v="-25.92"/>
    <n v="118"/>
    <x v="1"/>
    <x v="2"/>
    <x v="2"/>
    <x v="0"/>
    <x v="0"/>
    <n v="17119"/>
    <n v="16.55"/>
    <n v="92.38"/>
    <n v="50.33"/>
    <n v="60.27"/>
  </r>
  <r>
    <s v="2024-10-20"/>
    <x v="10"/>
    <x v="7"/>
    <s v="AVAX"/>
    <n v="334433013861.91998"/>
    <n v="62752.82"/>
    <n v="1344148685.7"/>
    <n v="9716957"/>
    <n v="10881421"/>
    <n v="10966466"/>
    <n v="9.51"/>
    <n v="3.34"/>
    <n v="-9.3800000000000008"/>
    <n v="29.12"/>
    <n v="134"/>
    <x v="4"/>
    <x v="2"/>
    <x v="2"/>
    <x v="2"/>
    <x v="1"/>
    <n v="58073"/>
    <n v="22.39"/>
    <n v="66.25"/>
    <n v="58.01"/>
    <n v="12.5"/>
  </r>
  <r>
    <s v="2024-11-05"/>
    <x v="3"/>
    <x v="8"/>
    <s v="ETH"/>
    <n v="433867987985.5"/>
    <n v="44929.99"/>
    <n v="49559079292.5"/>
    <n v="3336431"/>
    <n v="7012975"/>
    <n v="7070780"/>
    <n v="38.83"/>
    <n v="-4.7300000000000004"/>
    <n v="5.69"/>
    <n v="27.08"/>
    <n v="105"/>
    <x v="3"/>
    <x v="2"/>
    <x v="3"/>
    <x v="6"/>
    <x v="1"/>
    <n v="14091"/>
    <n v="74.930000000000007"/>
    <n v="41.66"/>
    <n v="64.11"/>
    <n v="87.42"/>
  </r>
  <r>
    <s v="2024-11-27"/>
    <x v="3"/>
    <x v="4"/>
    <s v="DOT"/>
    <n v="752657345927.88"/>
    <n v="11140.73"/>
    <n v="17793130418.799999"/>
    <n v="2969637"/>
    <n v="5274020"/>
    <n v="6196553"/>
    <n v="44.72"/>
    <n v="-2.2599999999999998"/>
    <n v="-0.66"/>
    <n v="28.34"/>
    <n v="40"/>
    <x v="4"/>
    <x v="1"/>
    <x v="2"/>
    <x v="9"/>
    <x v="1"/>
    <n v="56938"/>
    <n v="15.66"/>
    <n v="27.06"/>
    <n v="18.38"/>
    <n v="30.76"/>
  </r>
  <r>
    <s v="2024-04-27"/>
    <x v="8"/>
    <x v="0"/>
    <s v="LTC"/>
    <n v="859595929794.51001"/>
    <n v="62731.86"/>
    <n v="28548915424.59"/>
    <n v="18108423"/>
    <n v="18728404"/>
    <n v="19555506"/>
    <n v="9.7899999999999991"/>
    <n v="-4.6399999999999997"/>
    <n v="12.17"/>
    <n v="-39.71"/>
    <n v="159"/>
    <x v="1"/>
    <x v="4"/>
    <x v="0"/>
    <x v="10"/>
    <x v="0"/>
    <n v="12714"/>
    <n v="13.09"/>
    <n v="21.81"/>
    <n v="32.549999999999997"/>
    <n v="73.05"/>
  </r>
  <r>
    <s v="2024-03-16"/>
    <x v="9"/>
    <x v="6"/>
    <s v="DOGE"/>
    <n v="55585139371.860001"/>
    <n v="51867.11"/>
    <n v="40740467728.089996"/>
    <n v="12812466"/>
    <n v="14722834"/>
    <n v="15589806"/>
    <n v="3.95"/>
    <n v="3.22"/>
    <n v="-5.78"/>
    <n v="-22.33"/>
    <n v="190"/>
    <x v="4"/>
    <x v="0"/>
    <x v="3"/>
    <x v="11"/>
    <x v="0"/>
    <n v="43597"/>
    <n v="71.650000000000006"/>
    <n v="52.55"/>
    <n v="38.479999999999997"/>
    <n v="28.87"/>
  </r>
  <r>
    <s v="2024-11-03"/>
    <x v="3"/>
    <x v="9"/>
    <s v="BTC"/>
    <n v="539267744789.20001"/>
    <n v="5798.96"/>
    <n v="4055691288.7399998"/>
    <n v="17311438"/>
    <n v="19116626"/>
    <n v="19206641"/>
    <n v="53.25"/>
    <n v="-0.14000000000000001"/>
    <n v="-9.6199999999999992"/>
    <n v="6.39"/>
    <n v="169"/>
    <x v="4"/>
    <x v="3"/>
    <x v="3"/>
    <x v="11"/>
    <x v="0"/>
    <n v="23703"/>
    <n v="98.5"/>
    <n v="50.53"/>
    <n v="88.08"/>
    <n v="83.93"/>
  </r>
  <r>
    <s v="2024-01-19"/>
    <x v="2"/>
    <x v="7"/>
    <s v="AVAX"/>
    <n v="863742036845.32996"/>
    <n v="16705.16"/>
    <n v="30804458535.419998"/>
    <n v="3517351"/>
    <n v="3988272"/>
    <n v="4960033"/>
    <n v="53.68"/>
    <n v="4.74"/>
    <n v="1.31"/>
    <n v="-18.88"/>
    <n v="198"/>
    <x v="2"/>
    <x v="2"/>
    <x v="3"/>
    <x v="12"/>
    <x v="1"/>
    <n v="54701"/>
    <n v="92.56"/>
    <n v="25.96"/>
    <n v="71.02"/>
    <n v="46.28"/>
  </r>
  <r>
    <s v="2024-05-13"/>
    <x v="6"/>
    <x v="2"/>
    <s v="ADA"/>
    <n v="9242762716.8099995"/>
    <n v="28782.9"/>
    <n v="18639779856.360001"/>
    <n v="15777906"/>
    <n v="17521260"/>
    <n v="18441616"/>
    <n v="47.25"/>
    <n v="0.69"/>
    <n v="-7.44"/>
    <n v="-17.41"/>
    <n v="186"/>
    <x v="1"/>
    <x v="3"/>
    <x v="2"/>
    <x v="8"/>
    <x v="1"/>
    <n v="19256"/>
    <n v="69.98"/>
    <n v="88.56"/>
    <n v="16.77"/>
    <n v="92.39"/>
  </r>
  <r>
    <s v="2024-08-21"/>
    <x v="5"/>
    <x v="6"/>
    <s v="DOGE"/>
    <n v="541210386399.38"/>
    <n v="60765.59"/>
    <n v="40466037693.129997"/>
    <n v="8427652"/>
    <n v="10997377"/>
    <n v="11652056"/>
    <n v="30.02"/>
    <n v="-1.43"/>
    <n v="-3.98"/>
    <n v="6.78"/>
    <n v="69"/>
    <x v="0"/>
    <x v="3"/>
    <x v="1"/>
    <x v="7"/>
    <x v="0"/>
    <n v="55070"/>
    <n v="34.409999999999997"/>
    <n v="99.75"/>
    <n v="54.05"/>
    <n v="34.19"/>
  </r>
  <r>
    <s v="2024-04-14"/>
    <x v="8"/>
    <x v="1"/>
    <s v="BNB"/>
    <n v="74950604286.029999"/>
    <n v="47306.32"/>
    <n v="6715338472.4399996"/>
    <n v="18502821"/>
    <n v="19016497"/>
    <n v="19395394"/>
    <n v="18.73"/>
    <n v="1.01"/>
    <n v="-7.01"/>
    <n v="26.96"/>
    <n v="179"/>
    <x v="4"/>
    <x v="1"/>
    <x v="0"/>
    <x v="2"/>
    <x v="1"/>
    <n v="25008"/>
    <n v="92.56"/>
    <n v="57.42"/>
    <n v="63.4"/>
    <n v="43.11"/>
  </r>
  <r>
    <s v="2024-03-04"/>
    <x v="9"/>
    <x v="6"/>
    <s v="DOGE"/>
    <n v="234941695348.64001"/>
    <n v="11091.94"/>
    <n v="21974205124.259998"/>
    <n v="16798376"/>
    <n v="18752441"/>
    <n v="19223178"/>
    <n v="8.8699999999999992"/>
    <n v="-3.96"/>
    <n v="2.33"/>
    <n v="19.03"/>
    <n v="188"/>
    <x v="1"/>
    <x v="4"/>
    <x v="4"/>
    <x v="12"/>
    <x v="0"/>
    <n v="31203"/>
    <n v="43.22"/>
    <n v="52.38"/>
    <n v="43.87"/>
    <n v="95.93"/>
  </r>
  <r>
    <s v="2024-05-07"/>
    <x v="6"/>
    <x v="9"/>
    <s v="BTC"/>
    <n v="796851052175.81995"/>
    <n v="59376.82"/>
    <n v="47666871301.93"/>
    <n v="4867322"/>
    <n v="6462107"/>
    <n v="7047830"/>
    <n v="11.01"/>
    <n v="3.18"/>
    <n v="9.9700000000000006"/>
    <n v="-1.52"/>
    <n v="138"/>
    <x v="4"/>
    <x v="3"/>
    <x v="3"/>
    <x v="3"/>
    <x v="0"/>
    <n v="47626"/>
    <n v="91.71"/>
    <n v="58.13"/>
    <n v="97.86"/>
    <n v="28.71"/>
  </r>
  <r>
    <s v="2024-04-29"/>
    <x v="8"/>
    <x v="4"/>
    <s v="DOT"/>
    <n v="460363718519.66998"/>
    <n v="44522.85"/>
    <n v="49168856698.889999"/>
    <n v="4737397"/>
    <n v="5191507"/>
    <n v="5591171"/>
    <n v="40.97"/>
    <n v="-4.21"/>
    <n v="2.8"/>
    <n v="-21.34"/>
    <n v="117"/>
    <x v="2"/>
    <x v="2"/>
    <x v="3"/>
    <x v="11"/>
    <x v="1"/>
    <n v="3090"/>
    <n v="17.91"/>
    <n v="91.48"/>
    <n v="54.94"/>
    <n v="10.4"/>
  </r>
  <r>
    <s v="2024-01-14"/>
    <x v="2"/>
    <x v="0"/>
    <s v="LTC"/>
    <n v="842751354166.43994"/>
    <n v="58195.93"/>
    <n v="28173474524.52"/>
    <n v="2668024"/>
    <n v="2913022"/>
    <n v="3656340"/>
    <n v="29.54"/>
    <n v="1.46"/>
    <n v="14.02"/>
    <n v="24.74"/>
    <n v="45"/>
    <x v="1"/>
    <x v="0"/>
    <x v="3"/>
    <x v="5"/>
    <x v="0"/>
    <n v="6343"/>
    <n v="15.64"/>
    <n v="76.36"/>
    <n v="72.56"/>
    <n v="92.58"/>
  </r>
  <r>
    <s v="2024-06-29"/>
    <x v="7"/>
    <x v="8"/>
    <s v="ETH"/>
    <n v="22823125432.43"/>
    <n v="2160.52"/>
    <n v="26474826979.880001"/>
    <n v="1142392"/>
    <n v="3509528"/>
    <n v="4092172"/>
    <n v="16.77"/>
    <n v="-4.17"/>
    <n v="0.8"/>
    <n v="18.36"/>
    <n v="200"/>
    <x v="0"/>
    <x v="1"/>
    <x v="2"/>
    <x v="12"/>
    <x v="1"/>
    <n v="44608"/>
    <n v="25.81"/>
    <n v="87.36"/>
    <n v="45.57"/>
    <n v="98.06"/>
  </r>
  <r>
    <s v="2024-06-26"/>
    <x v="7"/>
    <x v="0"/>
    <s v="LTC"/>
    <n v="48231961388.110001"/>
    <n v="59593.65"/>
    <n v="35221912939.150002"/>
    <n v="1712705"/>
    <n v="6234451"/>
    <n v="6540093"/>
    <n v="51.29"/>
    <n v="-0.35"/>
    <n v="2.27"/>
    <n v="27.04"/>
    <n v="120"/>
    <x v="4"/>
    <x v="0"/>
    <x v="4"/>
    <x v="8"/>
    <x v="0"/>
    <n v="38522"/>
    <n v="84.54"/>
    <n v="99.23"/>
    <n v="79.44"/>
    <n v="53.48"/>
  </r>
  <r>
    <s v="2024-02-12"/>
    <x v="1"/>
    <x v="3"/>
    <s v="SOL"/>
    <n v="750185940714.69995"/>
    <n v="62495.65"/>
    <n v="25338013555.57"/>
    <n v="10055976"/>
    <n v="11007142"/>
    <n v="11267888"/>
    <n v="12.49"/>
    <n v="-4.59"/>
    <n v="2.23"/>
    <n v="-0.2"/>
    <n v="135"/>
    <x v="1"/>
    <x v="0"/>
    <x v="2"/>
    <x v="11"/>
    <x v="1"/>
    <n v="24651"/>
    <n v="46.83"/>
    <n v="98.16"/>
    <n v="99.67"/>
    <n v="55.95"/>
  </r>
  <r>
    <s v="2024-08-12"/>
    <x v="5"/>
    <x v="9"/>
    <s v="BTC"/>
    <n v="135620846098.09"/>
    <n v="33016.980000000003"/>
    <n v="15722480609.49"/>
    <n v="16778589"/>
    <n v="19003321"/>
    <n v="19684393"/>
    <n v="11.4"/>
    <n v="-4.83"/>
    <n v="8.19"/>
    <n v="-11.17"/>
    <n v="33"/>
    <x v="0"/>
    <x v="3"/>
    <x v="1"/>
    <x v="1"/>
    <x v="0"/>
    <n v="10230"/>
    <n v="68.239999999999995"/>
    <n v="23.43"/>
    <n v="70.47"/>
    <n v="20.5"/>
  </r>
  <r>
    <s v="2024-06-21"/>
    <x v="7"/>
    <x v="7"/>
    <s v="AVAX"/>
    <n v="853422811796.41003"/>
    <n v="62930.61"/>
    <n v="18561169495.130001"/>
    <n v="18660933"/>
    <n v="20247274"/>
    <n v="20421543"/>
    <n v="37.61"/>
    <n v="-1.1100000000000001"/>
    <n v="-3.27"/>
    <n v="18.27"/>
    <n v="136"/>
    <x v="1"/>
    <x v="2"/>
    <x v="2"/>
    <x v="8"/>
    <x v="1"/>
    <n v="33660"/>
    <n v="51.3"/>
    <n v="42"/>
    <n v="70.75"/>
    <n v="70.3"/>
  </r>
  <r>
    <s v="2024-11-06"/>
    <x v="3"/>
    <x v="5"/>
    <s v="XRP"/>
    <n v="356917789725.72998"/>
    <n v="2500.88"/>
    <n v="49612803606.959999"/>
    <n v="18611719"/>
    <n v="23066780"/>
    <n v="23429185"/>
    <n v="18.149999999999999"/>
    <n v="3.02"/>
    <n v="3.13"/>
    <n v="-31.61"/>
    <n v="108"/>
    <x v="1"/>
    <x v="1"/>
    <x v="3"/>
    <x v="10"/>
    <x v="2"/>
    <n v="55724"/>
    <n v="62.44"/>
    <n v="97.02"/>
    <n v="66.56"/>
    <n v="70.010000000000005"/>
  </r>
  <r>
    <s v="2024-04-16"/>
    <x v="8"/>
    <x v="0"/>
    <s v="LTC"/>
    <n v="207084582469.76001"/>
    <n v="24159.78"/>
    <n v="15568799767.74"/>
    <n v="4571999"/>
    <n v="9205272"/>
    <n v="9949426"/>
    <n v="25.83"/>
    <n v="-2.2400000000000002"/>
    <n v="11.05"/>
    <n v="-8.99"/>
    <n v="69"/>
    <x v="2"/>
    <x v="3"/>
    <x v="2"/>
    <x v="13"/>
    <x v="0"/>
    <n v="24860"/>
    <n v="23.63"/>
    <n v="89.47"/>
    <n v="42.34"/>
    <n v="94.03"/>
  </r>
  <r>
    <s v="2024-12-16"/>
    <x v="4"/>
    <x v="9"/>
    <s v="BTC"/>
    <n v="623258361500.06006"/>
    <n v="1798.25"/>
    <n v="44281798640.169998"/>
    <n v="7387020"/>
    <n v="8067165"/>
    <n v="8377056"/>
    <n v="51.08"/>
    <n v="2.81"/>
    <n v="12.19"/>
    <n v="-6.38"/>
    <n v="22"/>
    <x v="2"/>
    <x v="0"/>
    <x v="2"/>
    <x v="12"/>
    <x v="0"/>
    <n v="8931"/>
    <n v="70.650000000000006"/>
    <n v="27.29"/>
    <n v="71.849999999999994"/>
    <n v="91.84"/>
  </r>
  <r>
    <s v="2024-03-25"/>
    <x v="9"/>
    <x v="8"/>
    <s v="ETH"/>
    <n v="118125739154.78"/>
    <n v="27717.24"/>
    <n v="7896965658.0299997"/>
    <n v="6493828"/>
    <n v="9567642"/>
    <n v="9882371"/>
    <n v="56.91"/>
    <n v="1.1200000000000001"/>
    <n v="18.07"/>
    <n v="30.23"/>
    <n v="53"/>
    <x v="0"/>
    <x v="0"/>
    <x v="4"/>
    <x v="7"/>
    <x v="1"/>
    <n v="21295"/>
    <n v="91.13"/>
    <n v="64.03"/>
    <n v="90.78"/>
    <n v="37.07"/>
  </r>
  <r>
    <s v="2024-05-14"/>
    <x v="6"/>
    <x v="2"/>
    <s v="ADA"/>
    <n v="355666481482.72998"/>
    <n v="69678.84"/>
    <n v="1485575681"/>
    <n v="11606536"/>
    <n v="13690743"/>
    <n v="14669556"/>
    <n v="14.5"/>
    <n v="-1.1399999999999999"/>
    <n v="-1.73"/>
    <n v="39.770000000000003"/>
    <n v="82"/>
    <x v="1"/>
    <x v="3"/>
    <x v="0"/>
    <x v="4"/>
    <x v="1"/>
    <n v="60133"/>
    <n v="60.06"/>
    <n v="24.95"/>
    <n v="11.76"/>
    <n v="86.48"/>
  </r>
  <r>
    <s v="2024-09-06"/>
    <x v="11"/>
    <x v="2"/>
    <s v="ADA"/>
    <n v="39669266402.849998"/>
    <n v="19256.73"/>
    <n v="11571496474.950001"/>
    <n v="4839252"/>
    <n v="8095389"/>
    <n v="8868626"/>
    <n v="7.34"/>
    <n v="-1.7"/>
    <n v="6.77"/>
    <n v="11.27"/>
    <n v="100"/>
    <x v="3"/>
    <x v="0"/>
    <x v="4"/>
    <x v="0"/>
    <x v="1"/>
    <n v="19407"/>
    <n v="49.8"/>
    <n v="26.02"/>
    <n v="98.88"/>
    <n v="52.94"/>
  </r>
  <r>
    <s v="2024-02-17"/>
    <x v="1"/>
    <x v="1"/>
    <s v="BNB"/>
    <n v="547790864204.02002"/>
    <n v="53838.11"/>
    <n v="8292534934.1400003"/>
    <n v="14202751"/>
    <n v="17324393"/>
    <n v="17791636"/>
    <n v="38.85"/>
    <n v="-3.91"/>
    <n v="5.12"/>
    <n v="9.8800000000000008"/>
    <n v="32"/>
    <x v="3"/>
    <x v="4"/>
    <x v="0"/>
    <x v="6"/>
    <x v="1"/>
    <n v="55488"/>
    <n v="39.32"/>
    <n v="89.07"/>
    <n v="63.05"/>
    <n v="34.36"/>
  </r>
  <r>
    <s v="2024-06-19"/>
    <x v="7"/>
    <x v="3"/>
    <s v="SOL"/>
    <n v="68454603621.940002"/>
    <n v="51865.63"/>
    <n v="27589925838.880001"/>
    <n v="1284979"/>
    <n v="2106158"/>
    <n v="2285673"/>
    <n v="35.47"/>
    <n v="-0.22"/>
    <n v="-18.43"/>
    <n v="-20.28"/>
    <n v="25"/>
    <x v="4"/>
    <x v="2"/>
    <x v="2"/>
    <x v="11"/>
    <x v="1"/>
    <n v="37955"/>
    <n v="38.659999999999997"/>
    <n v="41.46"/>
    <n v="81.900000000000006"/>
    <n v="11.12"/>
  </r>
  <r>
    <s v="2024-03-30"/>
    <x v="9"/>
    <x v="3"/>
    <s v="SOL"/>
    <n v="527493119629.59003"/>
    <n v="55172.89"/>
    <n v="25735562406.880001"/>
    <n v="5441821"/>
    <n v="6564803"/>
    <n v="7386874"/>
    <n v="11.23"/>
    <n v="-4.93"/>
    <n v="-5.72"/>
    <n v="23.84"/>
    <n v="33"/>
    <x v="0"/>
    <x v="3"/>
    <x v="0"/>
    <x v="5"/>
    <x v="1"/>
    <n v="10073"/>
    <n v="35.44"/>
    <n v="40.36"/>
    <n v="52.09"/>
    <n v="45.94"/>
  </r>
  <r>
    <s v="2024-12-16"/>
    <x v="4"/>
    <x v="4"/>
    <s v="DOT"/>
    <n v="162149826116.85999"/>
    <n v="47302.33"/>
    <n v="33881186316.490002"/>
    <n v="8297789"/>
    <n v="12914685"/>
    <n v="13332102"/>
    <n v="53.29"/>
    <n v="-4.51"/>
    <n v="4.4400000000000004"/>
    <n v="-30.63"/>
    <n v="133"/>
    <x v="1"/>
    <x v="0"/>
    <x v="1"/>
    <x v="1"/>
    <x v="1"/>
    <n v="25951"/>
    <n v="66.38"/>
    <n v="71.48"/>
    <n v="13.6"/>
    <n v="60.45"/>
  </r>
  <r>
    <s v="2024-08-01"/>
    <x v="5"/>
    <x v="0"/>
    <s v="LTC"/>
    <n v="558369162437.47998"/>
    <n v="22739.22"/>
    <n v="20959589371.529999"/>
    <n v="15098974"/>
    <n v="19900514"/>
    <n v="20880609"/>
    <n v="37.47"/>
    <n v="-4.72"/>
    <n v="-9.31"/>
    <n v="23.98"/>
    <n v="116"/>
    <x v="3"/>
    <x v="1"/>
    <x v="4"/>
    <x v="13"/>
    <x v="0"/>
    <n v="17205"/>
    <n v="28.6"/>
    <n v="43.74"/>
    <n v="38.01"/>
    <n v="13.99"/>
  </r>
  <r>
    <s v="2024-02-20"/>
    <x v="1"/>
    <x v="6"/>
    <s v="DOGE"/>
    <n v="688544951007.35999"/>
    <n v="58791.28"/>
    <n v="27544496298.57"/>
    <n v="15706792"/>
    <n v="19247815"/>
    <n v="19817807"/>
    <n v="23.84"/>
    <n v="0.56000000000000005"/>
    <n v="7.94"/>
    <n v="-17.52"/>
    <n v="142"/>
    <x v="2"/>
    <x v="2"/>
    <x v="4"/>
    <x v="9"/>
    <x v="0"/>
    <n v="40599"/>
    <n v="26.41"/>
    <n v="41.56"/>
    <n v="19.37"/>
    <n v="61.75"/>
  </r>
  <r>
    <s v="2024-05-21"/>
    <x v="6"/>
    <x v="1"/>
    <s v="BNB"/>
    <n v="624308468278.79004"/>
    <n v="5297.26"/>
    <n v="33807541829.389999"/>
    <n v="18709870"/>
    <n v="19880328"/>
    <n v="20748680"/>
    <n v="30.23"/>
    <n v="2.57"/>
    <n v="11.71"/>
    <n v="-4.43"/>
    <n v="183"/>
    <x v="4"/>
    <x v="4"/>
    <x v="4"/>
    <x v="10"/>
    <x v="1"/>
    <n v="59337"/>
    <n v="97.3"/>
    <n v="72.22"/>
    <n v="98.48"/>
    <n v="21.66"/>
  </r>
  <r>
    <s v="2024-08-03"/>
    <x v="5"/>
    <x v="5"/>
    <s v="XRP"/>
    <n v="792175026494.62"/>
    <n v="35053.4"/>
    <n v="21655796959.549999"/>
    <n v="6788665"/>
    <n v="11092377"/>
    <n v="11950344"/>
    <n v="44.83"/>
    <n v="-1.18"/>
    <n v="-9.11"/>
    <n v="0.38"/>
    <n v="70"/>
    <x v="0"/>
    <x v="2"/>
    <x v="0"/>
    <x v="8"/>
    <x v="2"/>
    <n v="23307"/>
    <n v="53.54"/>
    <n v="37.08"/>
    <n v="80.17"/>
    <n v="74.209999999999994"/>
  </r>
  <r>
    <s v="2024-01-16"/>
    <x v="2"/>
    <x v="5"/>
    <s v="XRP"/>
    <n v="816878818282.06006"/>
    <n v="59205.9"/>
    <n v="17822225641.169998"/>
    <n v="6352877"/>
    <n v="10628018"/>
    <n v="11462007"/>
    <n v="16.47"/>
    <n v="-1.43"/>
    <n v="2"/>
    <n v="-4.0199999999999996"/>
    <n v="178"/>
    <x v="1"/>
    <x v="0"/>
    <x v="3"/>
    <x v="7"/>
    <x v="2"/>
    <n v="40380"/>
    <n v="21.69"/>
    <n v="98.14"/>
    <n v="44.81"/>
    <n v="44.72"/>
  </r>
  <r>
    <s v="2024-01-27"/>
    <x v="2"/>
    <x v="7"/>
    <s v="AVAX"/>
    <n v="180781176287.39001"/>
    <n v="17461.43"/>
    <n v="604632080.10000002"/>
    <n v="13122145"/>
    <n v="17045204"/>
    <n v="17826685"/>
    <n v="39.700000000000003"/>
    <n v="-1.69"/>
    <n v="15.62"/>
    <n v="-28.35"/>
    <n v="38"/>
    <x v="1"/>
    <x v="2"/>
    <x v="3"/>
    <x v="10"/>
    <x v="1"/>
    <n v="724"/>
    <n v="66.28"/>
    <n v="85.13"/>
    <n v="56.07"/>
    <n v="34.840000000000003"/>
  </r>
  <r>
    <s v="2024-10-08"/>
    <x v="10"/>
    <x v="4"/>
    <s v="DOT"/>
    <n v="461585369005.41998"/>
    <n v="59505.760000000002"/>
    <n v="42960199358.849998"/>
    <n v="1420572"/>
    <n v="3483378"/>
    <n v="3610518"/>
    <n v="9.2899999999999991"/>
    <n v="1.35"/>
    <n v="9.2899999999999991"/>
    <n v="5.75"/>
    <n v="151"/>
    <x v="4"/>
    <x v="0"/>
    <x v="3"/>
    <x v="6"/>
    <x v="1"/>
    <n v="41297"/>
    <n v="15.53"/>
    <n v="60.39"/>
    <n v="52.18"/>
    <n v="19.64"/>
  </r>
  <r>
    <s v="2024-04-26"/>
    <x v="8"/>
    <x v="8"/>
    <s v="ETH"/>
    <n v="893217566600.69995"/>
    <n v="5311.79"/>
    <n v="4884691777.1800003"/>
    <n v="1886818"/>
    <n v="3000773"/>
    <n v="3178129"/>
    <n v="2.4500000000000002"/>
    <n v="-3.08"/>
    <n v="3.16"/>
    <n v="4.62"/>
    <n v="29"/>
    <x v="0"/>
    <x v="3"/>
    <x v="3"/>
    <x v="3"/>
    <x v="1"/>
    <n v="39022"/>
    <n v="27.77"/>
    <n v="50.23"/>
    <n v="89.2"/>
    <n v="53.38"/>
  </r>
  <r>
    <s v="2024-04-30"/>
    <x v="8"/>
    <x v="2"/>
    <s v="ADA"/>
    <n v="745401156234.43005"/>
    <n v="6688.04"/>
    <n v="19717121018.310001"/>
    <n v="13938057"/>
    <n v="17425633"/>
    <n v="17728590"/>
    <n v="15.47"/>
    <n v="-4.99"/>
    <n v="14.76"/>
    <n v="22.63"/>
    <n v="188"/>
    <x v="1"/>
    <x v="2"/>
    <x v="1"/>
    <x v="7"/>
    <x v="1"/>
    <n v="32163"/>
    <n v="91.75"/>
    <n v="49.99"/>
    <n v="42.55"/>
    <n v="20.07"/>
  </r>
  <r>
    <s v="2024-06-18"/>
    <x v="7"/>
    <x v="2"/>
    <s v="ADA"/>
    <n v="149926331292.82001"/>
    <n v="14264.97"/>
    <n v="15006958522.09"/>
    <n v="2621495"/>
    <n v="3171574"/>
    <n v="3174024"/>
    <n v="16.440000000000001"/>
    <n v="-1.64"/>
    <n v="-19.57"/>
    <n v="4.34"/>
    <n v="130"/>
    <x v="4"/>
    <x v="4"/>
    <x v="1"/>
    <x v="6"/>
    <x v="1"/>
    <n v="63238"/>
    <n v="25.59"/>
    <n v="45.29"/>
    <n v="28.61"/>
    <n v="92.57"/>
  </r>
  <r>
    <s v="2024-01-21"/>
    <x v="2"/>
    <x v="4"/>
    <s v="DOT"/>
    <n v="452735523279.57001"/>
    <n v="66978.28"/>
    <n v="19510709874.52"/>
    <n v="12968980"/>
    <n v="13110078"/>
    <n v="13997208"/>
    <n v="14.81"/>
    <n v="1.58"/>
    <n v="-9.7200000000000006"/>
    <n v="36.47"/>
    <n v="109"/>
    <x v="3"/>
    <x v="2"/>
    <x v="2"/>
    <x v="1"/>
    <x v="1"/>
    <n v="53808"/>
    <n v="45.04"/>
    <n v="21.04"/>
    <n v="71.510000000000005"/>
    <n v="28.8"/>
  </r>
  <r>
    <s v="2024-05-28"/>
    <x v="6"/>
    <x v="2"/>
    <s v="ADA"/>
    <n v="217329922745.5"/>
    <n v="5926.91"/>
    <n v="6440402154.3800001"/>
    <n v="2225524"/>
    <n v="3372526"/>
    <n v="4332462"/>
    <n v="15.85"/>
    <n v="3.48"/>
    <n v="-18.760000000000002"/>
    <n v="15.08"/>
    <n v="137"/>
    <x v="3"/>
    <x v="4"/>
    <x v="4"/>
    <x v="12"/>
    <x v="1"/>
    <n v="55797"/>
    <n v="14.97"/>
    <n v="71.28"/>
    <n v="67.2"/>
    <n v="35.47"/>
  </r>
  <r>
    <s v="2024-03-01"/>
    <x v="9"/>
    <x v="7"/>
    <s v="AVAX"/>
    <n v="603750483061.30005"/>
    <n v="23315.67"/>
    <n v="47733657574.800003"/>
    <n v="2708061"/>
    <n v="3704316"/>
    <n v="4322817"/>
    <n v="5.51"/>
    <n v="-4.54"/>
    <n v="12.9"/>
    <n v="8.91"/>
    <n v="1"/>
    <x v="2"/>
    <x v="4"/>
    <x v="4"/>
    <x v="13"/>
    <x v="1"/>
    <n v="42504"/>
    <n v="65.040000000000006"/>
    <n v="29.3"/>
    <n v="62.12"/>
    <n v="88.93"/>
  </r>
  <r>
    <s v="2024-03-26"/>
    <x v="9"/>
    <x v="1"/>
    <s v="BNB"/>
    <n v="571431147968.05005"/>
    <n v="18457.259999999998"/>
    <n v="24671516237.43"/>
    <n v="11702907"/>
    <n v="15229550"/>
    <n v="15465673"/>
    <n v="38.71"/>
    <n v="4.9400000000000004"/>
    <n v="-3.8"/>
    <n v="24.34"/>
    <n v="54"/>
    <x v="0"/>
    <x v="0"/>
    <x v="2"/>
    <x v="0"/>
    <x v="1"/>
    <n v="12950"/>
    <n v="79.64"/>
    <n v="36.130000000000003"/>
    <n v="31.68"/>
    <n v="97.35"/>
  </r>
  <r>
    <s v="2024-06-07"/>
    <x v="7"/>
    <x v="8"/>
    <s v="ETH"/>
    <n v="165283275298.92999"/>
    <n v="51311.17"/>
    <n v="10837938246.799999"/>
    <n v="15689697"/>
    <n v="18994182"/>
    <n v="19647551"/>
    <n v="53.88"/>
    <n v="-1.21"/>
    <n v="-19.59"/>
    <n v="-22.56"/>
    <n v="42"/>
    <x v="3"/>
    <x v="1"/>
    <x v="1"/>
    <x v="1"/>
    <x v="1"/>
    <n v="8792"/>
    <n v="76.44"/>
    <n v="35.35"/>
    <n v="96.9"/>
    <n v="79.31"/>
  </r>
  <r>
    <s v="2024-06-12"/>
    <x v="7"/>
    <x v="0"/>
    <s v="LTC"/>
    <n v="478871907380.91998"/>
    <n v="84.64"/>
    <n v="37320191417.639999"/>
    <n v="4955930"/>
    <n v="9098749"/>
    <n v="9457642"/>
    <n v="44.45"/>
    <n v="-1.05"/>
    <n v="-1.53"/>
    <n v="-23.7"/>
    <n v="96"/>
    <x v="1"/>
    <x v="4"/>
    <x v="3"/>
    <x v="1"/>
    <x v="0"/>
    <n v="56675"/>
    <n v="73.62"/>
    <n v="70.98"/>
    <n v="67.31"/>
    <n v="36.53"/>
  </r>
  <r>
    <s v="2024-04-29"/>
    <x v="8"/>
    <x v="1"/>
    <s v="BNB"/>
    <n v="808778749218.43005"/>
    <n v="49787.22"/>
    <n v="39826315949.699997"/>
    <n v="8819591"/>
    <n v="12234531"/>
    <n v="12313796"/>
    <n v="55.06"/>
    <n v="-0.91"/>
    <n v="3.77"/>
    <n v="2.38"/>
    <n v="195"/>
    <x v="1"/>
    <x v="4"/>
    <x v="4"/>
    <x v="10"/>
    <x v="1"/>
    <n v="360"/>
    <n v="15.72"/>
    <n v="91.13"/>
    <n v="56.28"/>
    <n v="85.03"/>
  </r>
  <r>
    <s v="2024-08-28"/>
    <x v="5"/>
    <x v="6"/>
    <s v="DOGE"/>
    <n v="545110072322.06"/>
    <n v="18168.64"/>
    <n v="31549023211.209999"/>
    <n v="18693575"/>
    <n v="19395285"/>
    <n v="19734035"/>
    <n v="43.32"/>
    <n v="-0.92"/>
    <n v="-18.75"/>
    <n v="8.2799999999999994"/>
    <n v="64"/>
    <x v="1"/>
    <x v="2"/>
    <x v="2"/>
    <x v="2"/>
    <x v="0"/>
    <n v="6549"/>
    <n v="52"/>
    <n v="21.03"/>
    <n v="54.5"/>
    <n v="46.72"/>
  </r>
  <r>
    <s v="2024-07-10"/>
    <x v="0"/>
    <x v="7"/>
    <s v="AVAX"/>
    <n v="867612587129.87"/>
    <n v="54382.27"/>
    <n v="17954116492.830002"/>
    <n v="18343377"/>
    <n v="21530331"/>
    <n v="22414519"/>
    <n v="3.61"/>
    <n v="4.01"/>
    <n v="-7.62"/>
    <n v="31.3"/>
    <n v="91"/>
    <x v="3"/>
    <x v="4"/>
    <x v="4"/>
    <x v="7"/>
    <x v="1"/>
    <n v="61695"/>
    <n v="43.19"/>
    <n v="46.11"/>
    <n v="78.64"/>
    <n v="55.67"/>
  </r>
  <r>
    <s v="2024-10-21"/>
    <x v="10"/>
    <x v="3"/>
    <s v="SOL"/>
    <n v="404429392116.29999"/>
    <n v="32984.67"/>
    <n v="5692425888.3199997"/>
    <n v="2031252"/>
    <n v="3574024"/>
    <n v="3769043"/>
    <n v="35.06"/>
    <n v="0.79"/>
    <n v="7.6"/>
    <n v="4.21"/>
    <n v="115"/>
    <x v="3"/>
    <x v="1"/>
    <x v="1"/>
    <x v="5"/>
    <x v="1"/>
    <n v="42265"/>
    <n v="78.260000000000005"/>
    <n v="31.69"/>
    <n v="89.26"/>
    <n v="29.41"/>
  </r>
  <r>
    <s v="2024-12-22"/>
    <x v="4"/>
    <x v="4"/>
    <s v="DOT"/>
    <n v="507944234908.47998"/>
    <n v="6569.44"/>
    <n v="30993535094.73"/>
    <n v="12648351"/>
    <n v="16966678"/>
    <n v="17034170"/>
    <n v="46.57"/>
    <n v="0.1"/>
    <n v="0.78"/>
    <n v="12.8"/>
    <n v="97"/>
    <x v="2"/>
    <x v="3"/>
    <x v="3"/>
    <x v="2"/>
    <x v="1"/>
    <n v="22404"/>
    <n v="20.66"/>
    <n v="51.44"/>
    <n v="48.4"/>
    <n v="61.74"/>
  </r>
  <r>
    <s v="2024-03-16"/>
    <x v="9"/>
    <x v="6"/>
    <s v="DOGE"/>
    <n v="185861821195.17999"/>
    <n v="6804.31"/>
    <n v="47942497213.489998"/>
    <n v="2864173"/>
    <n v="6782158"/>
    <n v="7240290"/>
    <n v="53.41"/>
    <n v="0.16"/>
    <n v="-0.39"/>
    <n v="-26.06"/>
    <n v="82"/>
    <x v="3"/>
    <x v="3"/>
    <x v="1"/>
    <x v="6"/>
    <x v="0"/>
    <n v="51692"/>
    <n v="90.38"/>
    <n v="99.91"/>
    <n v="80.209999999999994"/>
    <n v="96.61"/>
  </r>
  <r>
    <s v="2024-05-17"/>
    <x v="6"/>
    <x v="2"/>
    <s v="ADA"/>
    <n v="247209670585.07999"/>
    <n v="59106.58"/>
    <n v="36054611295.75"/>
    <n v="16403390"/>
    <n v="16791168"/>
    <n v="17728403"/>
    <n v="36.56"/>
    <n v="-4.97"/>
    <n v="-15.18"/>
    <n v="-29.55"/>
    <n v="56"/>
    <x v="2"/>
    <x v="0"/>
    <x v="0"/>
    <x v="6"/>
    <x v="1"/>
    <n v="44076"/>
    <n v="84.68"/>
    <n v="33.83"/>
    <n v="87.48"/>
    <n v="32.19"/>
  </r>
  <r>
    <s v="2024-01-09"/>
    <x v="2"/>
    <x v="2"/>
    <s v="ADA"/>
    <n v="151756209167.23999"/>
    <n v="60373.47"/>
    <n v="21771052922.93"/>
    <n v="14101831"/>
    <n v="14954119"/>
    <n v="15574568"/>
    <n v="20.92"/>
    <n v="4.0199999999999996"/>
    <n v="-0.74"/>
    <n v="-25.48"/>
    <n v="191"/>
    <x v="3"/>
    <x v="0"/>
    <x v="4"/>
    <x v="7"/>
    <x v="1"/>
    <n v="11777"/>
    <n v="57.32"/>
    <n v="95.52"/>
    <n v="20.94"/>
    <n v="75.84"/>
  </r>
  <r>
    <s v="2024-04-30"/>
    <x v="8"/>
    <x v="0"/>
    <s v="LTC"/>
    <n v="886513891784.81006"/>
    <n v="29192.639999999999"/>
    <n v="17885777110.93"/>
    <n v="13860341"/>
    <n v="14225952"/>
    <n v="14608677"/>
    <n v="40.21"/>
    <n v="1.1299999999999999"/>
    <n v="-4.4400000000000004"/>
    <n v="-16.420000000000002"/>
    <n v="16"/>
    <x v="3"/>
    <x v="2"/>
    <x v="0"/>
    <x v="7"/>
    <x v="0"/>
    <n v="63563"/>
    <n v="60.31"/>
    <n v="88.09"/>
    <n v="78.790000000000006"/>
    <n v="29.13"/>
  </r>
  <r>
    <s v="2024-03-29"/>
    <x v="9"/>
    <x v="6"/>
    <s v="DOGE"/>
    <n v="594984921705.03003"/>
    <n v="36420.51"/>
    <n v="41026420746.82"/>
    <n v="10846663"/>
    <n v="11971604"/>
    <n v="12473799"/>
    <n v="27"/>
    <n v="-1.04"/>
    <n v="-16.88"/>
    <n v="29.18"/>
    <n v="14"/>
    <x v="0"/>
    <x v="1"/>
    <x v="2"/>
    <x v="0"/>
    <x v="0"/>
    <n v="56267"/>
    <n v="13.41"/>
    <n v="59.84"/>
    <n v="75.69"/>
    <n v="54.61"/>
  </r>
  <r>
    <s v="2024-06-22"/>
    <x v="7"/>
    <x v="5"/>
    <s v="XRP"/>
    <n v="763693920304.25"/>
    <n v="36253.83"/>
    <n v="3140837520.6799998"/>
    <n v="12397579"/>
    <n v="15337984"/>
    <n v="15882216"/>
    <n v="26.8"/>
    <n v="1.1499999999999999"/>
    <n v="16.32"/>
    <n v="12.71"/>
    <n v="84"/>
    <x v="0"/>
    <x v="0"/>
    <x v="1"/>
    <x v="6"/>
    <x v="2"/>
    <n v="41262"/>
    <n v="55.77"/>
    <n v="93.8"/>
    <n v="68.8"/>
    <n v="85.97"/>
  </r>
  <r>
    <s v="2024-07-16"/>
    <x v="0"/>
    <x v="3"/>
    <s v="SOL"/>
    <n v="287826854005.31"/>
    <n v="6257.79"/>
    <n v="17398213579.560001"/>
    <n v="14544716"/>
    <n v="16530608"/>
    <n v="16769830"/>
    <n v="6.21"/>
    <n v="1.52"/>
    <n v="-12.29"/>
    <n v="-29.91"/>
    <n v="151"/>
    <x v="1"/>
    <x v="3"/>
    <x v="2"/>
    <x v="6"/>
    <x v="1"/>
    <n v="62927"/>
    <n v="77.239999999999995"/>
    <n v="58.57"/>
    <n v="41.79"/>
    <n v="34.770000000000003"/>
  </r>
  <r>
    <s v="2024-01-18"/>
    <x v="2"/>
    <x v="4"/>
    <s v="DOT"/>
    <n v="760226136503.27002"/>
    <n v="68618.12"/>
    <n v="19923444745.139999"/>
    <n v="10483398"/>
    <n v="12509221"/>
    <n v="12870417"/>
    <n v="59.42"/>
    <n v="1.79"/>
    <n v="-1.28"/>
    <n v="26.28"/>
    <n v="182"/>
    <x v="1"/>
    <x v="1"/>
    <x v="3"/>
    <x v="12"/>
    <x v="1"/>
    <n v="10237"/>
    <n v="51.41"/>
    <n v="61.92"/>
    <n v="65.430000000000007"/>
    <n v="79.680000000000007"/>
  </r>
  <r>
    <s v="2024-04-13"/>
    <x v="8"/>
    <x v="2"/>
    <s v="ADA"/>
    <n v="565102378486.81995"/>
    <n v="5145.95"/>
    <n v="32711584983.150002"/>
    <n v="5777535"/>
    <n v="7032920"/>
    <n v="7297224"/>
    <n v="27.74"/>
    <n v="3.58"/>
    <n v="-5"/>
    <n v="12.43"/>
    <n v="29"/>
    <x v="4"/>
    <x v="2"/>
    <x v="3"/>
    <x v="4"/>
    <x v="1"/>
    <n v="48138"/>
    <n v="58.13"/>
    <n v="23.09"/>
    <n v="81.92"/>
    <n v="25.42"/>
  </r>
  <r>
    <s v="2024-11-17"/>
    <x v="3"/>
    <x v="7"/>
    <s v="AVAX"/>
    <n v="278804210779.71002"/>
    <n v="28503.37"/>
    <n v="20506843085.939999"/>
    <n v="11299027"/>
    <n v="15696202"/>
    <n v="15927311"/>
    <n v="19.07"/>
    <n v="1.2"/>
    <n v="0.43"/>
    <n v="20.79"/>
    <n v="26"/>
    <x v="2"/>
    <x v="2"/>
    <x v="3"/>
    <x v="5"/>
    <x v="1"/>
    <n v="21576"/>
    <n v="23.95"/>
    <n v="55.62"/>
    <n v="76.03"/>
    <n v="19.079999999999998"/>
  </r>
  <r>
    <s v="2024-09-12"/>
    <x v="11"/>
    <x v="8"/>
    <s v="ETH"/>
    <n v="782464116807.18994"/>
    <n v="6533.19"/>
    <n v="34293237954.900002"/>
    <n v="3671430"/>
    <n v="5954780"/>
    <n v="6223421"/>
    <n v="20.260000000000002"/>
    <n v="0.97"/>
    <n v="-11.83"/>
    <n v="-39.86"/>
    <n v="99"/>
    <x v="3"/>
    <x v="3"/>
    <x v="1"/>
    <x v="0"/>
    <x v="1"/>
    <n v="30227"/>
    <n v="50.48"/>
    <n v="21.33"/>
    <n v="97.09"/>
    <n v="70.44"/>
  </r>
  <r>
    <s v="2024-10-02"/>
    <x v="10"/>
    <x v="1"/>
    <s v="BNB"/>
    <n v="138798337852.07999"/>
    <n v="17966.11"/>
    <n v="18907851365.380001"/>
    <n v="11762745"/>
    <n v="12020788"/>
    <n v="12219225"/>
    <n v="21.3"/>
    <n v="2.52"/>
    <n v="-7.58"/>
    <n v="12.61"/>
    <n v="159"/>
    <x v="2"/>
    <x v="3"/>
    <x v="2"/>
    <x v="3"/>
    <x v="1"/>
    <n v="40944"/>
    <n v="32.549999999999997"/>
    <n v="63.85"/>
    <n v="99.71"/>
    <n v="35.22"/>
  </r>
  <r>
    <s v="2024-11-03"/>
    <x v="3"/>
    <x v="1"/>
    <s v="BNB"/>
    <n v="395045666754.58002"/>
    <n v="68611.839999999997"/>
    <n v="12371959625.07"/>
    <n v="17024297"/>
    <n v="17940807"/>
    <n v="18924843"/>
    <n v="16.940000000000001"/>
    <n v="-0.34"/>
    <n v="16.96"/>
    <n v="-24.03"/>
    <n v="1"/>
    <x v="4"/>
    <x v="2"/>
    <x v="2"/>
    <x v="5"/>
    <x v="1"/>
    <n v="28333"/>
    <n v="65.459999999999994"/>
    <n v="87.55"/>
    <n v="99.04"/>
    <n v="34.32"/>
  </r>
  <r>
    <s v="2024-08-25"/>
    <x v="5"/>
    <x v="2"/>
    <s v="ADA"/>
    <n v="206781515134.28"/>
    <n v="44613.25"/>
    <n v="46292114871.360001"/>
    <n v="6127620"/>
    <n v="6519279"/>
    <n v="6641345"/>
    <n v="56.4"/>
    <n v="-0.56000000000000005"/>
    <n v="-12.23"/>
    <n v="-21.2"/>
    <n v="115"/>
    <x v="0"/>
    <x v="2"/>
    <x v="1"/>
    <x v="8"/>
    <x v="1"/>
    <n v="21853"/>
    <n v="70.25"/>
    <n v="50.32"/>
    <n v="21.05"/>
    <n v="35.49"/>
  </r>
  <r>
    <s v="2024-08-16"/>
    <x v="5"/>
    <x v="0"/>
    <s v="LTC"/>
    <n v="540409528241.53003"/>
    <n v="58571.47"/>
    <n v="3509866696.23"/>
    <n v="3586936"/>
    <n v="7398276"/>
    <n v="7877834"/>
    <n v="58.39"/>
    <n v="-4.95"/>
    <n v="-2.86"/>
    <n v="10.68"/>
    <n v="136"/>
    <x v="0"/>
    <x v="2"/>
    <x v="4"/>
    <x v="11"/>
    <x v="0"/>
    <n v="2424"/>
    <n v="62.81"/>
    <n v="54.22"/>
    <n v="46.62"/>
    <n v="10.24"/>
  </r>
  <r>
    <s v="2024-03-15"/>
    <x v="9"/>
    <x v="7"/>
    <s v="AVAX"/>
    <n v="124925628105.77"/>
    <n v="52364.46"/>
    <n v="14950294873.59"/>
    <n v="14034951"/>
    <n v="18440775"/>
    <n v="18617242"/>
    <n v="31.69"/>
    <n v="-4.29"/>
    <n v="9.75"/>
    <n v="-17.399999999999999"/>
    <n v="5"/>
    <x v="1"/>
    <x v="0"/>
    <x v="4"/>
    <x v="5"/>
    <x v="1"/>
    <n v="57476"/>
    <n v="36.47"/>
    <n v="51.85"/>
    <n v="17.96"/>
    <n v="62.59"/>
  </r>
  <r>
    <s v="2024-10-29"/>
    <x v="10"/>
    <x v="5"/>
    <s v="XRP"/>
    <n v="846900502522.41003"/>
    <n v="36282.239999999998"/>
    <n v="24140702404.380001"/>
    <n v="14367735"/>
    <n v="14982994"/>
    <n v="15919766"/>
    <n v="5.93"/>
    <n v="-1.39"/>
    <n v="-14.76"/>
    <n v="13.29"/>
    <n v="60"/>
    <x v="0"/>
    <x v="0"/>
    <x v="4"/>
    <x v="9"/>
    <x v="2"/>
    <n v="53309"/>
    <n v="14.01"/>
    <n v="88.29"/>
    <n v="50.1"/>
    <n v="64.97"/>
  </r>
  <r>
    <s v="2024-06-26"/>
    <x v="7"/>
    <x v="4"/>
    <s v="DOT"/>
    <n v="305971238259.06"/>
    <n v="34292.51"/>
    <n v="14709985178.23"/>
    <n v="1226796"/>
    <n v="5432319"/>
    <n v="6368885"/>
    <n v="2.89"/>
    <n v="1.38"/>
    <n v="-18.940000000000001"/>
    <n v="-37.6"/>
    <n v="28"/>
    <x v="2"/>
    <x v="0"/>
    <x v="1"/>
    <x v="13"/>
    <x v="1"/>
    <n v="25707"/>
    <n v="46.57"/>
    <n v="56.27"/>
    <n v="28.97"/>
    <n v="81.27"/>
  </r>
  <r>
    <s v="2024-05-04"/>
    <x v="6"/>
    <x v="1"/>
    <s v="BNB"/>
    <n v="184431986330.53"/>
    <n v="31705.99"/>
    <n v="24617628189.759998"/>
    <n v="1128913"/>
    <n v="2900767"/>
    <n v="3060601"/>
    <n v="28.46"/>
    <n v="-2.7"/>
    <n v="-10.8"/>
    <n v="15.4"/>
    <n v="131"/>
    <x v="2"/>
    <x v="3"/>
    <x v="2"/>
    <x v="4"/>
    <x v="1"/>
    <n v="52815"/>
    <n v="86.99"/>
    <n v="26.31"/>
    <n v="85.33"/>
    <n v="64.959999999999994"/>
  </r>
  <r>
    <s v="2024-07-13"/>
    <x v="0"/>
    <x v="9"/>
    <s v="BTC"/>
    <n v="559604768679.69995"/>
    <n v="18781.04"/>
    <n v="19617866099.82"/>
    <n v="2332753"/>
    <n v="4018839"/>
    <n v="4367526"/>
    <n v="15.09"/>
    <n v="1.86"/>
    <n v="12.76"/>
    <n v="29.59"/>
    <n v="128"/>
    <x v="0"/>
    <x v="4"/>
    <x v="3"/>
    <x v="11"/>
    <x v="0"/>
    <n v="33452"/>
    <n v="18.43"/>
    <n v="80.22"/>
    <n v="37.4"/>
    <n v="18.559999999999999"/>
  </r>
  <r>
    <s v="2024-09-17"/>
    <x v="11"/>
    <x v="3"/>
    <s v="SOL"/>
    <n v="462849518885.20001"/>
    <n v="67722.38"/>
    <n v="11974631773.16"/>
    <n v="6681498"/>
    <n v="8136846"/>
    <n v="8174761"/>
    <n v="2.09"/>
    <n v="0.31"/>
    <n v="-4.8099999999999996"/>
    <n v="16.86"/>
    <n v="6"/>
    <x v="4"/>
    <x v="0"/>
    <x v="3"/>
    <x v="2"/>
    <x v="1"/>
    <n v="19381"/>
    <n v="13.01"/>
    <n v="91.09"/>
    <n v="86.11"/>
    <n v="55.76"/>
  </r>
  <r>
    <s v="2024-06-15"/>
    <x v="7"/>
    <x v="7"/>
    <s v="AVAX"/>
    <n v="586127184314.81995"/>
    <n v="69466.3"/>
    <n v="3660775167.9400001"/>
    <n v="16826438"/>
    <n v="21261300"/>
    <n v="21712883"/>
    <n v="22.8"/>
    <n v="1.23"/>
    <n v="-10.7"/>
    <n v="0.44"/>
    <n v="96"/>
    <x v="4"/>
    <x v="1"/>
    <x v="1"/>
    <x v="10"/>
    <x v="1"/>
    <n v="44912"/>
    <n v="22.36"/>
    <n v="22.27"/>
    <n v="88.72"/>
    <n v="92.78"/>
  </r>
  <r>
    <s v="2024-03-27"/>
    <x v="9"/>
    <x v="4"/>
    <s v="DOT"/>
    <n v="743341324969.76001"/>
    <n v="20472.419999999998"/>
    <n v="33639138742.470001"/>
    <n v="14205811"/>
    <n v="18837896"/>
    <n v="19226915"/>
    <n v="35.28"/>
    <n v="0.6"/>
    <n v="9.06"/>
    <n v="37.78"/>
    <n v="17"/>
    <x v="1"/>
    <x v="2"/>
    <x v="0"/>
    <x v="4"/>
    <x v="1"/>
    <n v="44935"/>
    <n v="66.89"/>
    <n v="82.78"/>
    <n v="28.29"/>
    <n v="60.34"/>
  </r>
  <r>
    <s v="2024-07-09"/>
    <x v="0"/>
    <x v="6"/>
    <s v="DOGE"/>
    <n v="284318296120.84003"/>
    <n v="8104.67"/>
    <n v="42868134899.120003"/>
    <n v="17307744"/>
    <n v="18727371"/>
    <n v="19260993"/>
    <n v="24.37"/>
    <n v="2.04"/>
    <n v="13.31"/>
    <n v="-32.35"/>
    <n v="39"/>
    <x v="0"/>
    <x v="3"/>
    <x v="1"/>
    <x v="7"/>
    <x v="0"/>
    <n v="9456"/>
    <n v="47.83"/>
    <n v="45.43"/>
    <n v="80.89"/>
    <n v="32.11"/>
  </r>
  <r>
    <s v="2024-05-30"/>
    <x v="6"/>
    <x v="8"/>
    <s v="ETH"/>
    <n v="284611408831.13"/>
    <n v="6324.36"/>
    <n v="33102756090.23"/>
    <n v="12006873"/>
    <n v="13669828"/>
    <n v="14337072"/>
    <n v="49.55"/>
    <n v="1.38"/>
    <n v="-1.46"/>
    <n v="25.74"/>
    <n v="76"/>
    <x v="0"/>
    <x v="1"/>
    <x v="2"/>
    <x v="9"/>
    <x v="1"/>
    <n v="50424"/>
    <n v="31.3"/>
    <n v="84.98"/>
    <n v="63.02"/>
    <n v="25.48"/>
  </r>
  <r>
    <s v="2024-11-10"/>
    <x v="3"/>
    <x v="6"/>
    <s v="DOGE"/>
    <n v="581682292870.43005"/>
    <n v="56603.89"/>
    <n v="2022559723.24"/>
    <n v="3780466"/>
    <n v="5144838"/>
    <n v="5677050"/>
    <n v="58.97"/>
    <n v="-4.7699999999999996"/>
    <n v="-18.37"/>
    <n v="-25.82"/>
    <n v="16"/>
    <x v="2"/>
    <x v="0"/>
    <x v="2"/>
    <x v="9"/>
    <x v="0"/>
    <n v="50474"/>
    <n v="82.62"/>
    <n v="35.25"/>
    <n v="35.39"/>
    <n v="64"/>
  </r>
  <r>
    <s v="2024-12-18"/>
    <x v="4"/>
    <x v="7"/>
    <s v="AVAX"/>
    <n v="671106814285.58997"/>
    <n v="24423.61"/>
    <n v="21718645080.27"/>
    <n v="5190379"/>
    <n v="9113578"/>
    <n v="9924740"/>
    <n v="1.57"/>
    <n v="-2.83"/>
    <n v="-9"/>
    <n v="8.14"/>
    <n v="4"/>
    <x v="2"/>
    <x v="4"/>
    <x v="0"/>
    <x v="0"/>
    <x v="1"/>
    <n v="37817"/>
    <n v="92.09"/>
    <n v="53.86"/>
    <n v="19.29"/>
    <n v="37.44"/>
  </r>
  <r>
    <s v="2024-12-26"/>
    <x v="4"/>
    <x v="5"/>
    <s v="XRP"/>
    <n v="772966799941.20996"/>
    <n v="19893.47"/>
    <n v="45749347696.139999"/>
    <n v="5000874"/>
    <n v="5680028"/>
    <n v="5991233"/>
    <n v="11.17"/>
    <n v="2.5499999999999998"/>
    <n v="-18.399999999999999"/>
    <n v="-38.58"/>
    <n v="56"/>
    <x v="3"/>
    <x v="3"/>
    <x v="2"/>
    <x v="6"/>
    <x v="2"/>
    <n v="50340"/>
    <n v="93.51"/>
    <n v="86.84"/>
    <n v="96.49"/>
    <n v="74.349999999999994"/>
  </r>
  <r>
    <s v="2024-10-08"/>
    <x v="10"/>
    <x v="3"/>
    <s v="SOL"/>
    <n v="651551808168.64001"/>
    <n v="40732.26"/>
    <n v="25597543537.720001"/>
    <n v="16300190"/>
    <n v="17565307"/>
    <n v="18369046"/>
    <n v="41.47"/>
    <n v="-1.26"/>
    <n v="18.37"/>
    <n v="26.94"/>
    <n v="147"/>
    <x v="2"/>
    <x v="3"/>
    <x v="1"/>
    <x v="12"/>
    <x v="1"/>
    <n v="52887"/>
    <n v="89.12"/>
    <n v="29.3"/>
    <n v="47.41"/>
    <n v="85.95"/>
  </r>
  <r>
    <s v="2024-12-28"/>
    <x v="4"/>
    <x v="6"/>
    <s v="DOGE"/>
    <n v="739603097863.91003"/>
    <n v="58006.64"/>
    <n v="42597868679.610001"/>
    <n v="7382983"/>
    <n v="10424604"/>
    <n v="11303229"/>
    <n v="2.34"/>
    <n v="-3.65"/>
    <n v="-19.46"/>
    <n v="-9.83"/>
    <n v="131"/>
    <x v="3"/>
    <x v="4"/>
    <x v="2"/>
    <x v="1"/>
    <x v="0"/>
    <n v="16314"/>
    <n v="95.26"/>
    <n v="34.74"/>
    <n v="88.5"/>
    <n v="85.24"/>
  </r>
  <r>
    <s v="2024-09-20"/>
    <x v="11"/>
    <x v="3"/>
    <s v="SOL"/>
    <n v="672184945844.40002"/>
    <n v="52973.26"/>
    <n v="13387658540.68"/>
    <n v="10313384"/>
    <n v="12493121"/>
    <n v="13189512"/>
    <n v="28.59"/>
    <n v="-4.88"/>
    <n v="10.29"/>
    <n v="-14.48"/>
    <n v="118"/>
    <x v="0"/>
    <x v="0"/>
    <x v="0"/>
    <x v="2"/>
    <x v="1"/>
    <n v="32446"/>
    <n v="38.43"/>
    <n v="46.33"/>
    <n v="11.44"/>
    <n v="12.91"/>
  </r>
  <r>
    <s v="2024-12-22"/>
    <x v="4"/>
    <x v="9"/>
    <s v="BTC"/>
    <n v="353701504712.90002"/>
    <n v="33294.300000000003"/>
    <n v="24358477482.200001"/>
    <n v="10710710"/>
    <n v="14588507"/>
    <n v="15315229"/>
    <n v="49.25"/>
    <n v="4.2699999999999996"/>
    <n v="-7.7"/>
    <n v="-13.65"/>
    <n v="177"/>
    <x v="1"/>
    <x v="2"/>
    <x v="2"/>
    <x v="9"/>
    <x v="0"/>
    <n v="52958"/>
    <n v="27.23"/>
    <n v="37.01"/>
    <n v="32.229999999999997"/>
    <n v="48.38"/>
  </r>
  <r>
    <s v="2024-02-27"/>
    <x v="1"/>
    <x v="4"/>
    <s v="DOT"/>
    <n v="134707023860.33"/>
    <n v="18009.93"/>
    <n v="10877174781.98"/>
    <n v="1349971"/>
    <n v="3378438"/>
    <n v="4115897"/>
    <n v="35.020000000000003"/>
    <n v="-2.75"/>
    <n v="-16.29"/>
    <n v="30.69"/>
    <n v="184"/>
    <x v="3"/>
    <x v="2"/>
    <x v="1"/>
    <x v="10"/>
    <x v="1"/>
    <n v="37427"/>
    <n v="41.99"/>
    <n v="59.22"/>
    <n v="97.82"/>
    <n v="83.68"/>
  </r>
  <r>
    <s v="2024-07-05"/>
    <x v="0"/>
    <x v="9"/>
    <s v="BTC"/>
    <n v="569798903710.29004"/>
    <n v="900.79"/>
    <n v="6112175978.1300001"/>
    <n v="7507841"/>
    <n v="8589177"/>
    <n v="8952462"/>
    <n v="22.02"/>
    <n v="-3.59"/>
    <n v="1.78"/>
    <n v="33.770000000000003"/>
    <n v="192"/>
    <x v="1"/>
    <x v="3"/>
    <x v="4"/>
    <x v="9"/>
    <x v="0"/>
    <n v="63154"/>
    <n v="44.03"/>
    <n v="47.9"/>
    <n v="59.9"/>
    <n v="97.91"/>
  </r>
  <r>
    <s v="2024-03-19"/>
    <x v="9"/>
    <x v="7"/>
    <s v="AVAX"/>
    <n v="278845792697.14001"/>
    <n v="21449.24"/>
    <n v="9692188145.1100006"/>
    <n v="1137508"/>
    <n v="4257586"/>
    <n v="5108190"/>
    <n v="17.579999999999998"/>
    <n v="-0.52"/>
    <n v="4.71"/>
    <n v="-28.68"/>
    <n v="81"/>
    <x v="1"/>
    <x v="4"/>
    <x v="4"/>
    <x v="0"/>
    <x v="1"/>
    <n v="59976"/>
    <n v="25.66"/>
    <n v="31.53"/>
    <n v="54.72"/>
    <n v="66.27"/>
  </r>
  <r>
    <s v="2024-01-27"/>
    <x v="2"/>
    <x v="1"/>
    <s v="BNB"/>
    <n v="160675690502.14001"/>
    <n v="58022.53"/>
    <n v="12252388665.030001"/>
    <n v="6594373"/>
    <n v="10449604"/>
    <n v="11152336"/>
    <n v="58.49"/>
    <n v="4.07"/>
    <n v="0.41"/>
    <n v="17.47"/>
    <n v="142"/>
    <x v="1"/>
    <x v="1"/>
    <x v="3"/>
    <x v="1"/>
    <x v="1"/>
    <n v="54542"/>
    <n v="83.43"/>
    <n v="32.36"/>
    <n v="55.31"/>
    <n v="58.54"/>
  </r>
  <r>
    <s v="2024-07-30"/>
    <x v="0"/>
    <x v="2"/>
    <s v="ADA"/>
    <n v="317102308382.85999"/>
    <n v="31837.78"/>
    <n v="3152489191.2199998"/>
    <n v="3111469"/>
    <n v="4994879"/>
    <n v="5210833"/>
    <n v="16.649999999999999"/>
    <n v="-2.84"/>
    <n v="-2.56"/>
    <n v="-32.22"/>
    <n v="177"/>
    <x v="0"/>
    <x v="3"/>
    <x v="1"/>
    <x v="2"/>
    <x v="1"/>
    <n v="35710"/>
    <n v="56.26"/>
    <n v="96.42"/>
    <n v="88.69"/>
    <n v="13.31"/>
  </r>
  <r>
    <s v="2024-04-01"/>
    <x v="8"/>
    <x v="1"/>
    <s v="BNB"/>
    <n v="740079572916.19995"/>
    <n v="43172.97"/>
    <n v="43298631296.370003"/>
    <n v="17639140"/>
    <n v="19175347"/>
    <n v="19901281"/>
    <n v="2.83"/>
    <n v="-0.6"/>
    <n v="2.82"/>
    <n v="28.07"/>
    <n v="143"/>
    <x v="0"/>
    <x v="2"/>
    <x v="0"/>
    <x v="8"/>
    <x v="1"/>
    <n v="23932"/>
    <n v="90.31"/>
    <n v="40.53"/>
    <n v="91.74"/>
    <n v="78.739999999999995"/>
  </r>
  <r>
    <s v="2024-05-06"/>
    <x v="6"/>
    <x v="7"/>
    <s v="AVAX"/>
    <n v="19254729770.490002"/>
    <n v="64174.63"/>
    <n v="18137264310.290001"/>
    <n v="7202620"/>
    <n v="9883814"/>
    <n v="10881881"/>
    <n v="2.15"/>
    <n v="-1.1200000000000001"/>
    <n v="3.32"/>
    <n v="-23.86"/>
    <n v="18"/>
    <x v="4"/>
    <x v="3"/>
    <x v="0"/>
    <x v="3"/>
    <x v="1"/>
    <n v="17378"/>
    <n v="76.14"/>
    <n v="78.66"/>
    <n v="85.77"/>
    <n v="91.65"/>
  </r>
  <r>
    <s v="2024-09-13"/>
    <x v="11"/>
    <x v="8"/>
    <s v="ETH"/>
    <n v="267898027879.67001"/>
    <n v="42643.66"/>
    <n v="28937858400.189999"/>
    <n v="9136361"/>
    <n v="11992771"/>
    <n v="12854163"/>
    <n v="41.99"/>
    <n v="-4.59"/>
    <n v="14.92"/>
    <n v="9.27"/>
    <n v="157"/>
    <x v="2"/>
    <x v="3"/>
    <x v="2"/>
    <x v="2"/>
    <x v="1"/>
    <n v="47854"/>
    <n v="67.2"/>
    <n v="28.02"/>
    <n v="31.15"/>
    <n v="64.02"/>
  </r>
  <r>
    <s v="2024-08-31"/>
    <x v="5"/>
    <x v="2"/>
    <s v="ADA"/>
    <n v="575783244566.92004"/>
    <n v="65931.039999999994"/>
    <n v="26678547349.82"/>
    <n v="13339833"/>
    <n v="13914164"/>
    <n v="14248355"/>
    <n v="5.17"/>
    <n v="-3.73"/>
    <n v="3.82"/>
    <n v="25.78"/>
    <n v="123"/>
    <x v="4"/>
    <x v="4"/>
    <x v="4"/>
    <x v="6"/>
    <x v="1"/>
    <n v="63393"/>
    <n v="21.64"/>
    <n v="23.35"/>
    <n v="42.85"/>
    <n v="79.989999999999995"/>
  </r>
  <r>
    <s v="2024-11-27"/>
    <x v="3"/>
    <x v="4"/>
    <s v="DOT"/>
    <n v="201059442413.28"/>
    <n v="16315.94"/>
    <n v="10860645845.34"/>
    <n v="17912126"/>
    <n v="21357918"/>
    <n v="21527856"/>
    <n v="12.19"/>
    <n v="2.98"/>
    <n v="1.78"/>
    <n v="-22.63"/>
    <n v="121"/>
    <x v="3"/>
    <x v="0"/>
    <x v="4"/>
    <x v="13"/>
    <x v="1"/>
    <n v="17060"/>
    <n v="81.77"/>
    <n v="52.56"/>
    <n v="55.31"/>
    <n v="96.81"/>
  </r>
  <r>
    <s v="2024-05-09"/>
    <x v="6"/>
    <x v="6"/>
    <s v="DOGE"/>
    <n v="12092176286.17"/>
    <n v="32003.56"/>
    <n v="30653864392.060001"/>
    <n v="14575306"/>
    <n v="15287827"/>
    <n v="16057246"/>
    <n v="13.21"/>
    <n v="-4.8600000000000003"/>
    <n v="1.65"/>
    <n v="-30.69"/>
    <n v="50"/>
    <x v="2"/>
    <x v="2"/>
    <x v="3"/>
    <x v="1"/>
    <x v="0"/>
    <n v="10290"/>
    <n v="32.44"/>
    <n v="70.19"/>
    <n v="51.08"/>
    <n v="31.48"/>
  </r>
  <r>
    <s v="2024-04-14"/>
    <x v="8"/>
    <x v="0"/>
    <s v="LTC"/>
    <n v="63191734681.639999"/>
    <n v="60677.78"/>
    <n v="29615120788.400002"/>
    <n v="11232890"/>
    <n v="16022481"/>
    <n v="16363866"/>
    <n v="48.33"/>
    <n v="0.15"/>
    <n v="-11.29"/>
    <n v="-9.77"/>
    <n v="149"/>
    <x v="3"/>
    <x v="2"/>
    <x v="0"/>
    <x v="2"/>
    <x v="0"/>
    <n v="15378"/>
    <n v="86.9"/>
    <n v="62.12"/>
    <n v="78.86"/>
    <n v="72.62"/>
  </r>
  <r>
    <s v="2024-03-30"/>
    <x v="9"/>
    <x v="6"/>
    <s v="DOGE"/>
    <n v="342914574024.52002"/>
    <n v="59720.27"/>
    <n v="14085088920.549999"/>
    <n v="9601420"/>
    <n v="12712788"/>
    <n v="13246647"/>
    <n v="14.5"/>
    <n v="0.5"/>
    <n v="9.2899999999999991"/>
    <n v="-11.04"/>
    <n v="168"/>
    <x v="0"/>
    <x v="2"/>
    <x v="4"/>
    <x v="12"/>
    <x v="0"/>
    <n v="1283"/>
    <n v="47.59"/>
    <n v="41.71"/>
    <n v="58.37"/>
    <n v="47.19"/>
  </r>
  <r>
    <s v="2024-02-08"/>
    <x v="1"/>
    <x v="6"/>
    <s v="DOGE"/>
    <n v="409043440550.78998"/>
    <n v="52980.28"/>
    <n v="10026075923.73"/>
    <n v="16965015"/>
    <n v="21846503"/>
    <n v="22299705"/>
    <n v="39.36"/>
    <n v="4.54"/>
    <n v="-3.69"/>
    <n v="22.94"/>
    <n v="90"/>
    <x v="2"/>
    <x v="1"/>
    <x v="2"/>
    <x v="1"/>
    <x v="0"/>
    <n v="994"/>
    <n v="58.16"/>
    <n v="34.15"/>
    <n v="43.31"/>
    <n v="98.57"/>
  </r>
  <r>
    <s v="2024-01-14"/>
    <x v="2"/>
    <x v="7"/>
    <s v="AVAX"/>
    <n v="164789392863.73999"/>
    <n v="13290.18"/>
    <n v="18341959689.259998"/>
    <n v="9646269"/>
    <n v="9876845"/>
    <n v="10292344"/>
    <n v="51.05"/>
    <n v="3.46"/>
    <n v="13.1"/>
    <n v="-3.96"/>
    <n v="83"/>
    <x v="1"/>
    <x v="0"/>
    <x v="1"/>
    <x v="12"/>
    <x v="1"/>
    <n v="64078"/>
    <n v="70.75"/>
    <n v="21.5"/>
    <n v="48"/>
    <n v="30.51"/>
  </r>
  <r>
    <s v="2024-09-25"/>
    <x v="11"/>
    <x v="0"/>
    <s v="LTC"/>
    <n v="548082387785.19"/>
    <n v="36385.980000000003"/>
    <n v="30142917690.77"/>
    <n v="7333607"/>
    <n v="12175578"/>
    <n v="12298195"/>
    <n v="1.53"/>
    <n v="-0.38"/>
    <n v="-10.99"/>
    <n v="-9.59"/>
    <n v="71"/>
    <x v="1"/>
    <x v="0"/>
    <x v="1"/>
    <x v="9"/>
    <x v="0"/>
    <n v="6457"/>
    <n v="92.6"/>
    <n v="28.19"/>
    <n v="35.26"/>
    <n v="87.12"/>
  </r>
  <r>
    <s v="2024-12-09"/>
    <x v="4"/>
    <x v="9"/>
    <s v="BTC"/>
    <n v="848619944264.56995"/>
    <n v="6322.8"/>
    <n v="48661417589.279999"/>
    <n v="9605365"/>
    <n v="13222342"/>
    <n v="13850459"/>
    <n v="26.38"/>
    <n v="3.97"/>
    <n v="-18.43"/>
    <n v="27.35"/>
    <n v="191"/>
    <x v="2"/>
    <x v="0"/>
    <x v="1"/>
    <x v="8"/>
    <x v="0"/>
    <n v="44097"/>
    <n v="98.98"/>
    <n v="56.83"/>
    <n v="62.59"/>
    <n v="73.91"/>
  </r>
  <r>
    <s v="2024-02-18"/>
    <x v="1"/>
    <x v="6"/>
    <s v="DOGE"/>
    <n v="653923990964.93994"/>
    <n v="32359.919999999998"/>
    <n v="44386432597.480003"/>
    <n v="18949674"/>
    <n v="22290227"/>
    <n v="22505098"/>
    <n v="45.18"/>
    <n v="-1.07"/>
    <n v="-6.56"/>
    <n v="4.7699999999999996"/>
    <n v="100"/>
    <x v="1"/>
    <x v="0"/>
    <x v="3"/>
    <x v="9"/>
    <x v="0"/>
    <n v="28108"/>
    <n v="15.3"/>
    <n v="97.11"/>
    <n v="82.06"/>
    <n v="81.91"/>
  </r>
  <r>
    <s v="2024-09-19"/>
    <x v="11"/>
    <x v="8"/>
    <s v="ETH"/>
    <n v="148145703050.07001"/>
    <n v="51921.82"/>
    <n v="2904999646.3400002"/>
    <n v="10130564"/>
    <n v="14874876"/>
    <n v="15627865"/>
    <n v="7.09"/>
    <n v="-3.32"/>
    <n v="15.63"/>
    <n v="-4.08"/>
    <n v="107"/>
    <x v="4"/>
    <x v="4"/>
    <x v="2"/>
    <x v="7"/>
    <x v="1"/>
    <n v="38610"/>
    <n v="91.43"/>
    <n v="33.49"/>
    <n v="96.36"/>
    <n v="35.619999999999997"/>
  </r>
  <r>
    <s v="2024-11-10"/>
    <x v="3"/>
    <x v="5"/>
    <s v="XRP"/>
    <n v="810820599942.78003"/>
    <n v="58031.9"/>
    <n v="47426470652.900002"/>
    <n v="1431359"/>
    <n v="4567044"/>
    <n v="4795106"/>
    <n v="37.43"/>
    <n v="-2.15"/>
    <n v="1.31"/>
    <n v="6.3"/>
    <n v="182"/>
    <x v="3"/>
    <x v="1"/>
    <x v="4"/>
    <x v="2"/>
    <x v="2"/>
    <n v="41023"/>
    <n v="76.44"/>
    <n v="73.33"/>
    <n v="39.56"/>
    <n v="57.15"/>
  </r>
  <r>
    <s v="2024-08-14"/>
    <x v="5"/>
    <x v="5"/>
    <s v="XRP"/>
    <n v="537795593233.72998"/>
    <n v="3307.99"/>
    <n v="10709938096.280001"/>
    <n v="18685701"/>
    <n v="19731188"/>
    <n v="20347568"/>
    <n v="4.38"/>
    <n v="3.57"/>
    <n v="2.21"/>
    <n v="11.26"/>
    <n v="144"/>
    <x v="4"/>
    <x v="1"/>
    <x v="2"/>
    <x v="1"/>
    <x v="2"/>
    <n v="21088"/>
    <n v="60.33"/>
    <n v="98.5"/>
    <n v="25.74"/>
    <n v="23.07"/>
  </r>
  <r>
    <s v="2024-06-02"/>
    <x v="7"/>
    <x v="5"/>
    <s v="XRP"/>
    <n v="199947487770.01001"/>
    <n v="65357.07"/>
    <n v="18819762944.599998"/>
    <n v="4495682"/>
    <n v="8690274"/>
    <n v="8756764"/>
    <n v="30.95"/>
    <n v="4.6399999999999997"/>
    <n v="-18.37"/>
    <n v="21.05"/>
    <n v="51"/>
    <x v="0"/>
    <x v="1"/>
    <x v="0"/>
    <x v="11"/>
    <x v="2"/>
    <n v="58979"/>
    <n v="15.18"/>
    <n v="45.15"/>
    <n v="18.41"/>
    <n v="87.75"/>
  </r>
  <r>
    <s v="2024-08-14"/>
    <x v="5"/>
    <x v="5"/>
    <s v="XRP"/>
    <n v="363724846891.06"/>
    <n v="67372.44"/>
    <n v="19839117346.630001"/>
    <n v="11892042"/>
    <n v="13431381"/>
    <n v="13603629"/>
    <n v="34.57"/>
    <n v="-3.69"/>
    <n v="14.07"/>
    <n v="-17.420000000000002"/>
    <n v="188"/>
    <x v="4"/>
    <x v="3"/>
    <x v="4"/>
    <x v="6"/>
    <x v="2"/>
    <n v="23511"/>
    <n v="32.5"/>
    <n v="69.760000000000005"/>
    <n v="18.149999999999999"/>
    <n v="73.37"/>
  </r>
  <r>
    <s v="2024-02-14"/>
    <x v="1"/>
    <x v="3"/>
    <s v="SOL"/>
    <n v="506546156875.78003"/>
    <n v="50052.3"/>
    <n v="40675771873.790001"/>
    <n v="11886760"/>
    <n v="14673261"/>
    <n v="14757780"/>
    <n v="56.75"/>
    <n v="3.67"/>
    <n v="-0.01"/>
    <n v="-6.83"/>
    <n v="150"/>
    <x v="2"/>
    <x v="0"/>
    <x v="1"/>
    <x v="12"/>
    <x v="1"/>
    <n v="61452"/>
    <n v="53.77"/>
    <n v="89.89"/>
    <n v="45.39"/>
    <n v="77.430000000000007"/>
  </r>
  <r>
    <s v="2024-04-20"/>
    <x v="8"/>
    <x v="7"/>
    <s v="AVAX"/>
    <n v="889340191906.91003"/>
    <n v="7085.76"/>
    <n v="48548416034.370003"/>
    <n v="2971437"/>
    <n v="4804880"/>
    <n v="4948544"/>
    <n v="44.24"/>
    <n v="-4.1500000000000004"/>
    <n v="16.45"/>
    <n v="-5.13"/>
    <n v="122"/>
    <x v="0"/>
    <x v="4"/>
    <x v="0"/>
    <x v="11"/>
    <x v="1"/>
    <n v="7619"/>
    <n v="48.1"/>
    <n v="66.569999999999993"/>
    <n v="35.46"/>
    <n v="52.4"/>
  </r>
  <r>
    <s v="2024-05-05"/>
    <x v="6"/>
    <x v="1"/>
    <s v="BNB"/>
    <n v="831628652258.28003"/>
    <n v="18263.11"/>
    <n v="7031650776.9099998"/>
    <n v="7125091"/>
    <n v="9862346"/>
    <n v="9997336"/>
    <n v="49.55"/>
    <n v="0.84"/>
    <n v="17.18"/>
    <n v="-12.2"/>
    <n v="160"/>
    <x v="0"/>
    <x v="0"/>
    <x v="0"/>
    <x v="7"/>
    <x v="1"/>
    <n v="29414"/>
    <n v="69.95"/>
    <n v="60.68"/>
    <n v="95.2"/>
    <n v="84.52"/>
  </r>
  <r>
    <s v="2024-03-27"/>
    <x v="9"/>
    <x v="6"/>
    <s v="DOGE"/>
    <n v="146821583216.64001"/>
    <n v="50247.89"/>
    <n v="42046429127.300003"/>
    <n v="18855963"/>
    <n v="21952602"/>
    <n v="22110577"/>
    <n v="26.29"/>
    <n v="3.87"/>
    <n v="17.46"/>
    <n v="38.380000000000003"/>
    <n v="26"/>
    <x v="2"/>
    <x v="0"/>
    <x v="0"/>
    <x v="3"/>
    <x v="0"/>
    <n v="12919"/>
    <n v="10.07"/>
    <n v="91.44"/>
    <n v="31.45"/>
    <n v="91.88"/>
  </r>
  <r>
    <s v="2024-07-07"/>
    <x v="0"/>
    <x v="6"/>
    <s v="DOGE"/>
    <n v="834768017870.34998"/>
    <n v="50499.93"/>
    <n v="46278376440.779999"/>
    <n v="9524854"/>
    <n v="10810240"/>
    <n v="11309798"/>
    <n v="5.33"/>
    <n v="-3.94"/>
    <n v="4.17"/>
    <n v="31.35"/>
    <n v="69"/>
    <x v="2"/>
    <x v="1"/>
    <x v="2"/>
    <x v="8"/>
    <x v="0"/>
    <n v="54436"/>
    <n v="31.35"/>
    <n v="51.12"/>
    <n v="75.91"/>
    <n v="86.2"/>
  </r>
  <r>
    <s v="2024-07-25"/>
    <x v="0"/>
    <x v="2"/>
    <s v="ADA"/>
    <n v="177515155738.47"/>
    <n v="27013.8"/>
    <n v="11019962894.950001"/>
    <n v="2150505"/>
    <n v="6978500"/>
    <n v="7950932"/>
    <n v="41.08"/>
    <n v="-4.3499999999999996"/>
    <n v="-12.15"/>
    <n v="-14.44"/>
    <n v="164"/>
    <x v="3"/>
    <x v="2"/>
    <x v="1"/>
    <x v="1"/>
    <x v="1"/>
    <n v="60916"/>
    <n v="39.909999999999997"/>
    <n v="78.83"/>
    <n v="44.17"/>
    <n v="16.52"/>
  </r>
  <r>
    <s v="2024-12-04"/>
    <x v="4"/>
    <x v="7"/>
    <s v="AVAX"/>
    <n v="853302889504.60999"/>
    <n v="27804.14"/>
    <n v="21379182399.759998"/>
    <n v="7012924"/>
    <n v="11650245"/>
    <n v="12405771"/>
    <n v="36.04"/>
    <n v="3.5"/>
    <n v="-7.09"/>
    <n v="13.06"/>
    <n v="40"/>
    <x v="3"/>
    <x v="3"/>
    <x v="2"/>
    <x v="6"/>
    <x v="1"/>
    <n v="34778"/>
    <n v="58.91"/>
    <n v="62.04"/>
    <n v="83.05"/>
    <n v="99.98"/>
  </r>
  <r>
    <s v="2024-10-19"/>
    <x v="10"/>
    <x v="0"/>
    <s v="LTC"/>
    <n v="772926089524.39001"/>
    <n v="27144.18"/>
    <n v="14636569731.91"/>
    <n v="15657956"/>
    <n v="20555364"/>
    <n v="20669986"/>
    <n v="40.409999999999997"/>
    <n v="3.45"/>
    <n v="-1.79"/>
    <n v="-13.2"/>
    <n v="3"/>
    <x v="3"/>
    <x v="0"/>
    <x v="1"/>
    <x v="9"/>
    <x v="0"/>
    <n v="23683"/>
    <n v="84.08"/>
    <n v="81.8"/>
    <n v="45.11"/>
    <n v="32.119999999999997"/>
  </r>
  <r>
    <s v="2024-10-10"/>
    <x v="10"/>
    <x v="3"/>
    <s v="SOL"/>
    <n v="158504237447.85999"/>
    <n v="33899.39"/>
    <n v="20913104092.810001"/>
    <n v="13496677"/>
    <n v="14989189"/>
    <n v="15132543"/>
    <n v="44.35"/>
    <n v="-0.13"/>
    <n v="-19.059999999999999"/>
    <n v="-22.33"/>
    <n v="132"/>
    <x v="2"/>
    <x v="0"/>
    <x v="3"/>
    <x v="5"/>
    <x v="1"/>
    <n v="17655"/>
    <n v="30.82"/>
    <n v="67.42"/>
    <n v="99.72"/>
    <n v="58.53"/>
  </r>
  <r>
    <s v="2024-06-28"/>
    <x v="7"/>
    <x v="4"/>
    <s v="DOT"/>
    <n v="720516408464.85999"/>
    <n v="1915.49"/>
    <n v="42344427701.489998"/>
    <n v="12608744"/>
    <n v="12737221"/>
    <n v="13563536"/>
    <n v="16.739999999999998"/>
    <n v="2"/>
    <n v="14.84"/>
    <n v="-33.92"/>
    <n v="83"/>
    <x v="2"/>
    <x v="2"/>
    <x v="3"/>
    <x v="12"/>
    <x v="1"/>
    <n v="5521"/>
    <n v="52.8"/>
    <n v="43.95"/>
    <n v="21.05"/>
    <n v="47.35"/>
  </r>
  <r>
    <s v="2024-01-13"/>
    <x v="2"/>
    <x v="6"/>
    <s v="DOGE"/>
    <n v="658794226933.68005"/>
    <n v="26067.74"/>
    <n v="20406152376.990002"/>
    <n v="17893068"/>
    <n v="21459811"/>
    <n v="22440708"/>
    <n v="9.9600000000000009"/>
    <n v="-3.19"/>
    <n v="12.7"/>
    <n v="-26.12"/>
    <n v="197"/>
    <x v="4"/>
    <x v="3"/>
    <x v="2"/>
    <x v="13"/>
    <x v="0"/>
    <n v="57864"/>
    <n v="32.19"/>
    <n v="67.5"/>
    <n v="58.26"/>
    <n v="17.7"/>
  </r>
  <r>
    <s v="2024-11-19"/>
    <x v="3"/>
    <x v="8"/>
    <s v="ETH"/>
    <n v="425305317131.29999"/>
    <n v="6591.89"/>
    <n v="40012457532.910004"/>
    <n v="7756376"/>
    <n v="12695565"/>
    <n v="13284290"/>
    <n v="58.63"/>
    <n v="-4.51"/>
    <n v="0.14000000000000001"/>
    <n v="-15.42"/>
    <n v="118"/>
    <x v="2"/>
    <x v="1"/>
    <x v="3"/>
    <x v="12"/>
    <x v="1"/>
    <n v="53391"/>
    <n v="79.66"/>
    <n v="96.41"/>
    <n v="56.87"/>
    <n v="26.73"/>
  </r>
  <r>
    <s v="2024-11-03"/>
    <x v="3"/>
    <x v="1"/>
    <s v="BNB"/>
    <n v="258094548827.29001"/>
    <n v="24618.69"/>
    <n v="40426283952.230003"/>
    <n v="3965350"/>
    <n v="7086318"/>
    <n v="7222552"/>
    <n v="8.52"/>
    <n v="-2.39"/>
    <n v="7.07"/>
    <n v="-5.29"/>
    <n v="66"/>
    <x v="3"/>
    <x v="0"/>
    <x v="2"/>
    <x v="5"/>
    <x v="1"/>
    <n v="36729"/>
    <n v="62.97"/>
    <n v="47.83"/>
    <n v="55.67"/>
    <n v="85.37"/>
  </r>
  <r>
    <s v="2024-05-01"/>
    <x v="6"/>
    <x v="7"/>
    <s v="AVAX"/>
    <n v="153684986956.87"/>
    <n v="8337.59"/>
    <n v="11571600244.780001"/>
    <n v="4864018"/>
    <n v="8477148"/>
    <n v="9424111"/>
    <n v="32.28"/>
    <n v="-1.64"/>
    <n v="-11.91"/>
    <n v="22.15"/>
    <n v="129"/>
    <x v="0"/>
    <x v="1"/>
    <x v="4"/>
    <x v="13"/>
    <x v="1"/>
    <n v="54782"/>
    <n v="71.61"/>
    <n v="94.47"/>
    <n v="45.87"/>
    <n v="78.66"/>
  </r>
  <r>
    <s v="2024-01-25"/>
    <x v="2"/>
    <x v="5"/>
    <s v="XRP"/>
    <n v="151784414220.37"/>
    <n v="42702.86"/>
    <n v="6019252390.5200005"/>
    <n v="9928294"/>
    <n v="11029320"/>
    <n v="11032487"/>
    <n v="2.38"/>
    <n v="2.0299999999999998"/>
    <n v="-1.1599999999999999"/>
    <n v="-26.35"/>
    <n v="171"/>
    <x v="1"/>
    <x v="0"/>
    <x v="1"/>
    <x v="13"/>
    <x v="2"/>
    <n v="32567"/>
    <n v="45.35"/>
    <n v="90.55"/>
    <n v="61.6"/>
    <n v="45.4"/>
  </r>
  <r>
    <s v="2024-02-23"/>
    <x v="1"/>
    <x v="4"/>
    <s v="DOT"/>
    <n v="502408744756.51001"/>
    <n v="43623.07"/>
    <n v="41482394033.760002"/>
    <n v="4142135"/>
    <n v="7950247"/>
    <n v="8398794"/>
    <n v="25.5"/>
    <n v="4.41"/>
    <n v="13.64"/>
    <n v="37.979999999999997"/>
    <n v="74"/>
    <x v="4"/>
    <x v="2"/>
    <x v="2"/>
    <x v="13"/>
    <x v="1"/>
    <n v="25433"/>
    <n v="76.36"/>
    <n v="39.31"/>
    <n v="79.87"/>
    <n v="41.65"/>
  </r>
  <r>
    <s v="2024-04-07"/>
    <x v="8"/>
    <x v="1"/>
    <s v="BNB"/>
    <n v="664036621644.10999"/>
    <n v="38705.68"/>
    <n v="38173093688.25"/>
    <n v="1962216"/>
    <n v="6513960"/>
    <n v="7458160"/>
    <n v="38.799999999999997"/>
    <n v="2.2400000000000002"/>
    <n v="8.18"/>
    <n v="23.53"/>
    <n v="35"/>
    <x v="0"/>
    <x v="4"/>
    <x v="4"/>
    <x v="6"/>
    <x v="1"/>
    <n v="60444"/>
    <n v="11.97"/>
    <n v="26.93"/>
    <n v="79.040000000000006"/>
    <n v="17.690000000000001"/>
  </r>
  <r>
    <s v="2024-05-29"/>
    <x v="6"/>
    <x v="8"/>
    <s v="ETH"/>
    <n v="379727811175.95001"/>
    <n v="49745.65"/>
    <n v="40707674506.419998"/>
    <n v="17741800"/>
    <n v="21180302"/>
    <n v="21480925"/>
    <n v="14.02"/>
    <n v="-1.66"/>
    <n v="13.03"/>
    <n v="39.31"/>
    <n v="130"/>
    <x v="4"/>
    <x v="0"/>
    <x v="1"/>
    <x v="1"/>
    <x v="1"/>
    <n v="21809"/>
    <n v="71.95"/>
    <n v="67.930000000000007"/>
    <n v="61.44"/>
    <n v="34.340000000000003"/>
  </r>
  <r>
    <s v="2024-06-01"/>
    <x v="7"/>
    <x v="4"/>
    <s v="DOT"/>
    <n v="233124990243.98999"/>
    <n v="14341.86"/>
    <n v="35071152899.209999"/>
    <n v="16266983"/>
    <n v="20707253"/>
    <n v="20868293"/>
    <n v="11.13"/>
    <n v="-2.81"/>
    <n v="16.309999999999999"/>
    <n v="8.1300000000000008"/>
    <n v="62"/>
    <x v="0"/>
    <x v="0"/>
    <x v="1"/>
    <x v="13"/>
    <x v="1"/>
    <n v="6821"/>
    <n v="30.44"/>
    <n v="77.62"/>
    <n v="34.869999999999997"/>
    <n v="60.58"/>
  </r>
  <r>
    <s v="2024-10-07"/>
    <x v="10"/>
    <x v="8"/>
    <s v="ETH"/>
    <n v="785424372282.63"/>
    <n v="3947.78"/>
    <n v="7757175223.8999996"/>
    <n v="14379731"/>
    <n v="15246854"/>
    <n v="15465479"/>
    <n v="10.46"/>
    <n v="-1.02"/>
    <n v="-19.489999999999998"/>
    <n v="-38.35"/>
    <n v="32"/>
    <x v="2"/>
    <x v="3"/>
    <x v="1"/>
    <x v="1"/>
    <x v="1"/>
    <n v="30548"/>
    <n v="78.17"/>
    <n v="27.74"/>
    <n v="75.31"/>
    <n v="74.92"/>
  </r>
  <r>
    <s v="2024-05-22"/>
    <x v="6"/>
    <x v="8"/>
    <s v="ETH"/>
    <n v="492249810946.33002"/>
    <n v="39901.31"/>
    <n v="9831530844.2600002"/>
    <n v="9183691"/>
    <n v="12129220"/>
    <n v="13053595"/>
    <n v="20.440000000000001"/>
    <n v="-0.99"/>
    <n v="3.06"/>
    <n v="-7.9"/>
    <n v="166"/>
    <x v="0"/>
    <x v="1"/>
    <x v="2"/>
    <x v="3"/>
    <x v="1"/>
    <n v="22174"/>
    <n v="23.92"/>
    <n v="67.680000000000007"/>
    <n v="53.44"/>
    <n v="57.7"/>
  </r>
  <r>
    <s v="2024-12-31"/>
    <x v="4"/>
    <x v="2"/>
    <s v="ADA"/>
    <n v="21388610131.849998"/>
    <n v="6847.79"/>
    <n v="25862997729.970001"/>
    <n v="8779498"/>
    <n v="9017679"/>
    <n v="9065077"/>
    <n v="10.029999999999999"/>
    <n v="0.38"/>
    <n v="14.68"/>
    <n v="11.13"/>
    <n v="74"/>
    <x v="2"/>
    <x v="3"/>
    <x v="4"/>
    <x v="11"/>
    <x v="1"/>
    <n v="39309"/>
    <n v="20.54"/>
    <n v="43.36"/>
    <n v="95.13"/>
    <n v="14.76"/>
  </r>
  <r>
    <s v="2024-10-16"/>
    <x v="10"/>
    <x v="9"/>
    <s v="BTC"/>
    <n v="772133825234.33997"/>
    <n v="60313.91"/>
    <n v="24152303199.919998"/>
    <n v="17569962"/>
    <n v="18573068"/>
    <n v="19426240"/>
    <n v="42.46"/>
    <n v="-3.41"/>
    <n v="-10.46"/>
    <n v="-33.58"/>
    <n v="92"/>
    <x v="2"/>
    <x v="2"/>
    <x v="0"/>
    <x v="1"/>
    <x v="0"/>
    <n v="34358"/>
    <n v="58.65"/>
    <n v="45.12"/>
    <n v="23.92"/>
    <n v="83.47"/>
  </r>
  <r>
    <s v="2024-07-05"/>
    <x v="0"/>
    <x v="1"/>
    <s v="BNB"/>
    <n v="21531421675.130001"/>
    <n v="57527.53"/>
    <n v="18769806504.110001"/>
    <n v="6291328"/>
    <n v="9637687"/>
    <n v="9853839"/>
    <n v="10.56"/>
    <n v="2.2599999999999998"/>
    <n v="16.57"/>
    <n v="19.440000000000001"/>
    <n v="36"/>
    <x v="0"/>
    <x v="4"/>
    <x v="2"/>
    <x v="3"/>
    <x v="1"/>
    <n v="19250"/>
    <n v="35.06"/>
    <n v="46.86"/>
    <n v="14.53"/>
    <n v="10.34"/>
  </r>
  <r>
    <s v="2024-02-03"/>
    <x v="1"/>
    <x v="5"/>
    <s v="XRP"/>
    <n v="513019231433.78003"/>
    <n v="47252.82"/>
    <n v="24831938456.509998"/>
    <n v="18759165"/>
    <n v="19187464"/>
    <n v="19813465"/>
    <n v="51.29"/>
    <n v="-3.11"/>
    <n v="-8.35"/>
    <n v="31.78"/>
    <n v="31"/>
    <x v="0"/>
    <x v="0"/>
    <x v="3"/>
    <x v="8"/>
    <x v="2"/>
    <n v="13219"/>
    <n v="44.31"/>
    <n v="58.11"/>
    <n v="88.43"/>
    <n v="47.28"/>
  </r>
  <r>
    <s v="2024-05-28"/>
    <x v="6"/>
    <x v="4"/>
    <s v="DOT"/>
    <n v="213910073271.75"/>
    <n v="36583.760000000002"/>
    <n v="7474832883.6400003"/>
    <n v="9372374"/>
    <n v="13407477"/>
    <n v="14371922"/>
    <n v="6.58"/>
    <n v="-1.79"/>
    <n v="7.24"/>
    <n v="-7.06"/>
    <n v="102"/>
    <x v="3"/>
    <x v="2"/>
    <x v="4"/>
    <x v="10"/>
    <x v="1"/>
    <n v="26266"/>
    <n v="50.78"/>
    <n v="64.66"/>
    <n v="30.38"/>
    <n v="44.09"/>
  </r>
  <r>
    <s v="2024-09-16"/>
    <x v="11"/>
    <x v="6"/>
    <s v="DOGE"/>
    <n v="333983807070.82001"/>
    <n v="5849.56"/>
    <n v="39654726355.949997"/>
    <n v="3739886"/>
    <n v="4534378"/>
    <n v="4996532"/>
    <n v="27.59"/>
    <n v="1.38"/>
    <n v="10.45"/>
    <n v="34.4"/>
    <n v="180"/>
    <x v="3"/>
    <x v="4"/>
    <x v="0"/>
    <x v="5"/>
    <x v="0"/>
    <n v="20875"/>
    <n v="67.59"/>
    <n v="83.39"/>
    <n v="40.11"/>
    <n v="59.67"/>
  </r>
  <r>
    <s v="2024-02-15"/>
    <x v="1"/>
    <x v="5"/>
    <s v="XRP"/>
    <n v="234067011179.14001"/>
    <n v="40895.089999999997"/>
    <n v="4853544810.21"/>
    <n v="10807620"/>
    <n v="15239114"/>
    <n v="15554787"/>
    <n v="52.22"/>
    <n v="1.81"/>
    <n v="8.02"/>
    <n v="19.57"/>
    <n v="71"/>
    <x v="1"/>
    <x v="0"/>
    <x v="0"/>
    <x v="1"/>
    <x v="2"/>
    <n v="55328"/>
    <n v="52.29"/>
    <n v="60.51"/>
    <n v="78.349999999999994"/>
    <n v="33.28"/>
  </r>
  <r>
    <s v="2024-10-09"/>
    <x v="10"/>
    <x v="5"/>
    <s v="XRP"/>
    <n v="171303162284.76999"/>
    <n v="54375.64"/>
    <n v="26779711450.91"/>
    <n v="10674756"/>
    <n v="12335655"/>
    <n v="13081835"/>
    <n v="47.53"/>
    <n v="-2.73"/>
    <n v="-1.98"/>
    <n v="-30.14"/>
    <n v="30"/>
    <x v="2"/>
    <x v="2"/>
    <x v="2"/>
    <x v="11"/>
    <x v="2"/>
    <n v="49464"/>
    <n v="88.58"/>
    <n v="68.19"/>
    <n v="26.66"/>
    <n v="27.03"/>
  </r>
  <r>
    <s v="2024-01-28"/>
    <x v="2"/>
    <x v="7"/>
    <s v="AVAX"/>
    <n v="810196858251.39001"/>
    <n v="3044.99"/>
    <n v="16381366000.67"/>
    <n v="8234946"/>
    <n v="10559322"/>
    <n v="11175884"/>
    <n v="55.46"/>
    <n v="-1.71"/>
    <n v="-19.100000000000001"/>
    <n v="-36.630000000000003"/>
    <n v="100"/>
    <x v="4"/>
    <x v="3"/>
    <x v="1"/>
    <x v="13"/>
    <x v="1"/>
    <n v="39102"/>
    <n v="41.35"/>
    <n v="27.4"/>
    <n v="84.6"/>
    <n v="38.549999999999997"/>
  </r>
  <r>
    <s v="2024-11-14"/>
    <x v="3"/>
    <x v="2"/>
    <s v="ADA"/>
    <n v="305222146802.96002"/>
    <n v="61117.67"/>
    <n v="46879172910.010002"/>
    <n v="18727378"/>
    <n v="22799927"/>
    <n v="22835096"/>
    <n v="28.7"/>
    <n v="-4.9800000000000004"/>
    <n v="3.88"/>
    <n v="32.79"/>
    <n v="94"/>
    <x v="3"/>
    <x v="3"/>
    <x v="2"/>
    <x v="13"/>
    <x v="1"/>
    <n v="39845"/>
    <n v="50.72"/>
    <n v="34.54"/>
    <n v="48.26"/>
    <n v="58.45"/>
  </r>
  <r>
    <s v="2024-05-02"/>
    <x v="6"/>
    <x v="3"/>
    <s v="SOL"/>
    <n v="806615271321.68005"/>
    <n v="30512.68"/>
    <n v="33680358384.869999"/>
    <n v="16780097"/>
    <n v="21208363"/>
    <n v="21816624"/>
    <n v="4.75"/>
    <n v="3.34"/>
    <n v="-15.32"/>
    <n v="-13.57"/>
    <n v="148"/>
    <x v="4"/>
    <x v="4"/>
    <x v="1"/>
    <x v="3"/>
    <x v="1"/>
    <n v="10365"/>
    <n v="52.23"/>
    <n v="57.1"/>
    <n v="22.87"/>
    <n v="97.62"/>
  </r>
  <r>
    <s v="2024-12-23"/>
    <x v="4"/>
    <x v="9"/>
    <s v="BTC"/>
    <n v="46096077823.209999"/>
    <n v="60971.16"/>
    <n v="26031801187.740002"/>
    <n v="12869206"/>
    <n v="15634828"/>
    <n v="16371597"/>
    <n v="25.24"/>
    <n v="3.75"/>
    <n v="-2.62"/>
    <n v="-5.72"/>
    <n v="104"/>
    <x v="2"/>
    <x v="3"/>
    <x v="2"/>
    <x v="11"/>
    <x v="0"/>
    <n v="52156"/>
    <n v="40.76"/>
    <n v="65.3"/>
    <n v="86.88"/>
    <n v="99.58"/>
  </r>
  <r>
    <s v="2024-11-26"/>
    <x v="3"/>
    <x v="4"/>
    <s v="DOT"/>
    <n v="818690725840.79004"/>
    <n v="3456.99"/>
    <n v="18869215637.48"/>
    <n v="17077416"/>
    <n v="18377487"/>
    <n v="18991645"/>
    <n v="21.96"/>
    <n v="1"/>
    <n v="-7.94"/>
    <n v="39.159999999999997"/>
    <n v="159"/>
    <x v="3"/>
    <x v="0"/>
    <x v="0"/>
    <x v="12"/>
    <x v="1"/>
    <n v="57532"/>
    <n v="72.06"/>
    <n v="59.39"/>
    <n v="25.33"/>
    <n v="49.69"/>
  </r>
  <r>
    <s v="2024-06-16"/>
    <x v="7"/>
    <x v="0"/>
    <s v="LTC"/>
    <n v="495420015448.46997"/>
    <n v="53692.800000000003"/>
    <n v="29528867912.919998"/>
    <n v="1276219"/>
    <n v="3291181"/>
    <n v="3831406"/>
    <n v="45.74"/>
    <n v="-1.62"/>
    <n v="-16.47"/>
    <n v="-13.68"/>
    <n v="97"/>
    <x v="1"/>
    <x v="3"/>
    <x v="2"/>
    <x v="6"/>
    <x v="0"/>
    <n v="54497"/>
    <n v="28.05"/>
    <n v="52.66"/>
    <n v="62.68"/>
    <n v="31.05"/>
  </r>
  <r>
    <s v="2024-10-04"/>
    <x v="10"/>
    <x v="5"/>
    <s v="XRP"/>
    <n v="506471149137.97998"/>
    <n v="19513.73"/>
    <n v="31349059385.5"/>
    <n v="6833957"/>
    <n v="11088301"/>
    <n v="11910933"/>
    <n v="22.01"/>
    <n v="3.53"/>
    <n v="2.99"/>
    <n v="-11.36"/>
    <n v="136"/>
    <x v="0"/>
    <x v="0"/>
    <x v="2"/>
    <x v="9"/>
    <x v="2"/>
    <n v="51488"/>
    <n v="33.770000000000003"/>
    <n v="51.37"/>
    <n v="65.08"/>
    <n v="62.94"/>
  </r>
  <r>
    <s v="2024-04-22"/>
    <x v="8"/>
    <x v="4"/>
    <s v="DOT"/>
    <n v="594357894878.46997"/>
    <n v="65542.16"/>
    <n v="48171362742.110001"/>
    <n v="9441684"/>
    <n v="10847206"/>
    <n v="11530598"/>
    <n v="13.22"/>
    <n v="3.4"/>
    <n v="-5"/>
    <n v="-26.32"/>
    <n v="42"/>
    <x v="3"/>
    <x v="3"/>
    <x v="4"/>
    <x v="7"/>
    <x v="1"/>
    <n v="59708"/>
    <n v="24.33"/>
    <n v="71.11"/>
    <n v="39.33"/>
    <n v="43.25"/>
  </r>
  <r>
    <s v="2024-04-27"/>
    <x v="8"/>
    <x v="0"/>
    <s v="LTC"/>
    <n v="353155562938.25"/>
    <n v="42860.22"/>
    <n v="27761897968.650002"/>
    <n v="11962838"/>
    <n v="15430112"/>
    <n v="15799498"/>
    <n v="47.44"/>
    <n v="4.63"/>
    <n v="19.010000000000002"/>
    <n v="-22.66"/>
    <n v="21"/>
    <x v="2"/>
    <x v="1"/>
    <x v="1"/>
    <x v="9"/>
    <x v="0"/>
    <n v="26657"/>
    <n v="34.26"/>
    <n v="69.989999999999995"/>
    <n v="56.25"/>
    <n v="65.67"/>
  </r>
  <r>
    <s v="2024-02-02"/>
    <x v="1"/>
    <x v="5"/>
    <s v="XRP"/>
    <n v="35657596176.129997"/>
    <n v="65598.570000000007"/>
    <n v="36426185677.940002"/>
    <n v="5333347"/>
    <n v="9096019"/>
    <n v="9145059"/>
    <n v="54.52"/>
    <n v="4.16"/>
    <n v="19.54"/>
    <n v="-35.049999999999997"/>
    <n v="170"/>
    <x v="4"/>
    <x v="3"/>
    <x v="4"/>
    <x v="2"/>
    <x v="2"/>
    <n v="33192"/>
    <n v="92.27"/>
    <n v="86.28"/>
    <n v="22.28"/>
    <n v="13.84"/>
  </r>
  <r>
    <s v="2024-07-25"/>
    <x v="0"/>
    <x v="0"/>
    <s v="LTC"/>
    <n v="452411918751.23999"/>
    <n v="26476.799999999999"/>
    <n v="4995405653.1199999"/>
    <n v="4782743"/>
    <n v="6238981"/>
    <n v="6552437"/>
    <n v="5.32"/>
    <n v="3.22"/>
    <n v="-17.829999999999998"/>
    <n v="7.75"/>
    <n v="140"/>
    <x v="2"/>
    <x v="0"/>
    <x v="1"/>
    <x v="3"/>
    <x v="0"/>
    <n v="3864"/>
    <n v="37.450000000000003"/>
    <n v="31.32"/>
    <n v="80.790000000000006"/>
    <n v="38.479999999999997"/>
  </r>
  <r>
    <s v="2024-05-14"/>
    <x v="6"/>
    <x v="4"/>
    <s v="DOT"/>
    <n v="112866587175.09"/>
    <n v="34137.01"/>
    <n v="44963378795.57"/>
    <n v="1468434"/>
    <n v="6368919"/>
    <n v="7025338"/>
    <n v="19.28"/>
    <n v="0.03"/>
    <n v="19.05"/>
    <n v="1.05"/>
    <n v="179"/>
    <x v="3"/>
    <x v="1"/>
    <x v="1"/>
    <x v="1"/>
    <x v="1"/>
    <n v="59168"/>
    <n v="97.01"/>
    <n v="87.49"/>
    <n v="55.28"/>
    <n v="71.16"/>
  </r>
  <r>
    <s v="2024-04-18"/>
    <x v="8"/>
    <x v="6"/>
    <s v="DOGE"/>
    <n v="505198623830.23999"/>
    <n v="62937.15"/>
    <n v="39233226650.389999"/>
    <n v="13345245"/>
    <n v="17008508"/>
    <n v="17666104"/>
    <n v="52.8"/>
    <n v="2.77"/>
    <n v="-1.78"/>
    <n v="36.630000000000003"/>
    <n v="157"/>
    <x v="4"/>
    <x v="3"/>
    <x v="0"/>
    <x v="2"/>
    <x v="0"/>
    <n v="43357"/>
    <n v="58.3"/>
    <n v="62.42"/>
    <n v="78.290000000000006"/>
    <n v="56.08"/>
  </r>
  <r>
    <s v="2024-02-10"/>
    <x v="1"/>
    <x v="3"/>
    <s v="SOL"/>
    <n v="579732733899.27002"/>
    <n v="2386.46"/>
    <n v="8849219896.5699997"/>
    <n v="17646467"/>
    <n v="22191692"/>
    <n v="23152423"/>
    <n v="37.22"/>
    <n v="1.47"/>
    <n v="-18.02"/>
    <n v="-20.14"/>
    <n v="50"/>
    <x v="1"/>
    <x v="2"/>
    <x v="1"/>
    <x v="4"/>
    <x v="1"/>
    <n v="3802"/>
    <n v="43.84"/>
    <n v="99.61"/>
    <n v="55.17"/>
    <n v="32.96"/>
  </r>
  <r>
    <s v="2024-06-19"/>
    <x v="7"/>
    <x v="9"/>
    <s v="BTC"/>
    <n v="133975327504.05"/>
    <n v="65707.12"/>
    <n v="5176098196.6899996"/>
    <n v="13579933"/>
    <n v="17652844"/>
    <n v="18245610"/>
    <n v="24.28"/>
    <n v="3.79"/>
    <n v="-12.09"/>
    <n v="-39.57"/>
    <n v="6"/>
    <x v="3"/>
    <x v="4"/>
    <x v="3"/>
    <x v="0"/>
    <x v="0"/>
    <n v="10766"/>
    <n v="13.3"/>
    <n v="82.3"/>
    <n v="41.28"/>
    <n v="20.67"/>
  </r>
  <r>
    <s v="2024-08-25"/>
    <x v="5"/>
    <x v="2"/>
    <s v="ADA"/>
    <n v="500581290862.59998"/>
    <n v="6960.01"/>
    <n v="12698246973.889999"/>
    <n v="6712487"/>
    <n v="6991842"/>
    <n v="7261284"/>
    <n v="10.77"/>
    <n v="2.89"/>
    <n v="5.45"/>
    <n v="39.64"/>
    <n v="32"/>
    <x v="4"/>
    <x v="2"/>
    <x v="1"/>
    <x v="1"/>
    <x v="1"/>
    <n v="12867"/>
    <n v="84.6"/>
    <n v="47.04"/>
    <n v="68.510000000000005"/>
    <n v="51.07"/>
  </r>
  <r>
    <s v="2024-08-09"/>
    <x v="5"/>
    <x v="3"/>
    <s v="SOL"/>
    <n v="123259697040.38"/>
    <n v="63068.73"/>
    <n v="2852590561.3400002"/>
    <n v="14329609"/>
    <n v="15795075"/>
    <n v="16783621"/>
    <n v="42.46"/>
    <n v="4.24"/>
    <n v="-5.4"/>
    <n v="-26.33"/>
    <n v="56"/>
    <x v="3"/>
    <x v="1"/>
    <x v="4"/>
    <x v="7"/>
    <x v="1"/>
    <n v="32344"/>
    <n v="25.71"/>
    <n v="51.08"/>
    <n v="47.11"/>
    <n v="41.64"/>
  </r>
  <r>
    <s v="2024-07-28"/>
    <x v="0"/>
    <x v="2"/>
    <s v="ADA"/>
    <n v="504052812234.01001"/>
    <n v="54431.4"/>
    <n v="19784891409.619999"/>
    <n v="12871843"/>
    <n v="15360690"/>
    <n v="15945213"/>
    <n v="29.48"/>
    <n v="0.63"/>
    <n v="-0.92"/>
    <n v="16.329999999999998"/>
    <n v="138"/>
    <x v="4"/>
    <x v="4"/>
    <x v="1"/>
    <x v="5"/>
    <x v="1"/>
    <n v="19277"/>
    <n v="24.56"/>
    <n v="70.7"/>
    <n v="68.819999999999993"/>
    <n v="19.899999999999999"/>
  </r>
  <r>
    <s v="2024-03-25"/>
    <x v="9"/>
    <x v="2"/>
    <s v="ADA"/>
    <n v="305024762717.56"/>
    <n v="35755.129999999997"/>
    <n v="3736648798.5700002"/>
    <n v="1996073"/>
    <n v="4880720"/>
    <n v="5548327"/>
    <n v="25.89"/>
    <n v="3.59"/>
    <n v="-7.8"/>
    <n v="-18.899999999999999"/>
    <n v="76"/>
    <x v="1"/>
    <x v="2"/>
    <x v="2"/>
    <x v="8"/>
    <x v="1"/>
    <n v="44174"/>
    <n v="43.83"/>
    <n v="39.86"/>
    <n v="16.77"/>
    <n v="69.150000000000006"/>
  </r>
  <r>
    <s v="2024-11-02"/>
    <x v="3"/>
    <x v="9"/>
    <s v="BTC"/>
    <n v="42471674228.120003"/>
    <n v="40789.17"/>
    <n v="21740884457.639999"/>
    <n v="12281666"/>
    <n v="15761428"/>
    <n v="16300646"/>
    <n v="32.94"/>
    <n v="4.53"/>
    <n v="-14.32"/>
    <n v="7.91"/>
    <n v="94"/>
    <x v="3"/>
    <x v="3"/>
    <x v="2"/>
    <x v="5"/>
    <x v="0"/>
    <n v="32990"/>
    <n v="96.65"/>
    <n v="90.36"/>
    <n v="34.619999999999997"/>
    <n v="69.42"/>
  </r>
  <r>
    <s v="2024-07-08"/>
    <x v="0"/>
    <x v="0"/>
    <s v="LTC"/>
    <n v="5729374936.4099998"/>
    <n v="531.19000000000005"/>
    <n v="45902959854.339996"/>
    <n v="1173918"/>
    <n v="1851481"/>
    <n v="2240379"/>
    <n v="43.47"/>
    <n v="4.0199999999999996"/>
    <n v="3.18"/>
    <n v="-23.26"/>
    <n v="75"/>
    <x v="4"/>
    <x v="3"/>
    <x v="0"/>
    <x v="1"/>
    <x v="0"/>
    <n v="43484"/>
    <n v="90.22"/>
    <n v="92.1"/>
    <n v="10.11"/>
    <n v="48.65"/>
  </r>
  <r>
    <s v="2024-01-11"/>
    <x v="2"/>
    <x v="2"/>
    <s v="ADA"/>
    <n v="838960245344.90002"/>
    <n v="61431.44"/>
    <n v="30585156663.130001"/>
    <n v="5953196"/>
    <n v="6327522"/>
    <n v="7110787"/>
    <n v="12.45"/>
    <n v="4.26"/>
    <n v="-6.62"/>
    <n v="-33.479999999999997"/>
    <n v="97"/>
    <x v="0"/>
    <x v="4"/>
    <x v="4"/>
    <x v="2"/>
    <x v="1"/>
    <n v="2941"/>
    <n v="95.59"/>
    <n v="29.52"/>
    <n v="87.08"/>
    <n v="89.6"/>
  </r>
  <r>
    <s v="2024-03-14"/>
    <x v="9"/>
    <x v="8"/>
    <s v="ETH"/>
    <n v="232479169846.20999"/>
    <n v="56959.85"/>
    <n v="11765342727.99"/>
    <n v="14142682"/>
    <n v="18215515"/>
    <n v="18629035"/>
    <n v="26.5"/>
    <n v="3.27"/>
    <n v="-19.739999999999998"/>
    <n v="-14.39"/>
    <n v="37"/>
    <x v="0"/>
    <x v="1"/>
    <x v="3"/>
    <x v="10"/>
    <x v="1"/>
    <n v="52070"/>
    <n v="49.48"/>
    <n v="51.72"/>
    <n v="29.12"/>
    <n v="23.69"/>
  </r>
  <r>
    <s v="2024-05-31"/>
    <x v="6"/>
    <x v="2"/>
    <s v="ADA"/>
    <n v="422984497564.98999"/>
    <n v="50975.06"/>
    <n v="3087855468.3200002"/>
    <n v="16628887"/>
    <n v="18408522"/>
    <n v="18668187"/>
    <n v="59.6"/>
    <n v="4.92"/>
    <n v="14.93"/>
    <n v="-29.42"/>
    <n v="17"/>
    <x v="2"/>
    <x v="0"/>
    <x v="1"/>
    <x v="9"/>
    <x v="1"/>
    <n v="3785"/>
    <n v="17.59"/>
    <n v="51.79"/>
    <n v="30.33"/>
    <n v="37.61"/>
  </r>
  <r>
    <s v="2024-06-08"/>
    <x v="7"/>
    <x v="3"/>
    <s v="SOL"/>
    <n v="540855530497.42999"/>
    <n v="65103.64"/>
    <n v="35252634356.849998"/>
    <n v="6798160"/>
    <n v="6918193"/>
    <n v="7433058"/>
    <n v="19.39"/>
    <n v="-2.12"/>
    <n v="2.73"/>
    <n v="-14.97"/>
    <n v="104"/>
    <x v="1"/>
    <x v="2"/>
    <x v="0"/>
    <x v="4"/>
    <x v="1"/>
    <n v="13301"/>
    <n v="71.36"/>
    <n v="45.26"/>
    <n v="18.510000000000002"/>
    <n v="30.19"/>
  </r>
  <r>
    <s v="2024-01-02"/>
    <x v="2"/>
    <x v="8"/>
    <s v="ETH"/>
    <n v="223518477445.89999"/>
    <n v="43169.62"/>
    <n v="46821483630.150002"/>
    <n v="7537733"/>
    <n v="8444304"/>
    <n v="9382900"/>
    <n v="49.13"/>
    <n v="-1.1599999999999999"/>
    <n v="5.31"/>
    <n v="32.729999999999997"/>
    <n v="28"/>
    <x v="4"/>
    <x v="4"/>
    <x v="1"/>
    <x v="13"/>
    <x v="1"/>
    <n v="58885"/>
    <n v="94.42"/>
    <n v="60.38"/>
    <n v="76.09"/>
    <n v="46.83"/>
  </r>
  <r>
    <s v="2024-09-26"/>
    <x v="11"/>
    <x v="0"/>
    <s v="LTC"/>
    <n v="111833475631"/>
    <n v="29269.67"/>
    <n v="39695146353.620003"/>
    <n v="7956079"/>
    <n v="11168000"/>
    <n v="11364778"/>
    <n v="56.66"/>
    <n v="3.42"/>
    <n v="-5.13"/>
    <n v="12.47"/>
    <n v="140"/>
    <x v="0"/>
    <x v="2"/>
    <x v="4"/>
    <x v="12"/>
    <x v="0"/>
    <n v="33960"/>
    <n v="67.48"/>
    <n v="38.53"/>
    <n v="87.51"/>
    <n v="71.900000000000006"/>
  </r>
  <r>
    <s v="2024-03-10"/>
    <x v="9"/>
    <x v="5"/>
    <s v="XRP"/>
    <n v="369163009117.21002"/>
    <n v="6623.46"/>
    <n v="14835207354.18"/>
    <n v="1662111"/>
    <n v="3752097"/>
    <n v="4083612"/>
    <n v="47.71"/>
    <n v="-4.3499999999999996"/>
    <n v="17.78"/>
    <n v="11.54"/>
    <n v="140"/>
    <x v="4"/>
    <x v="0"/>
    <x v="0"/>
    <x v="8"/>
    <x v="2"/>
    <n v="34784"/>
    <n v="94.63"/>
    <n v="80.88"/>
    <n v="40.04"/>
    <n v="23.81"/>
  </r>
  <r>
    <s v="2024-04-09"/>
    <x v="8"/>
    <x v="3"/>
    <s v="SOL"/>
    <n v="13108831306.219999"/>
    <n v="20634.82"/>
    <n v="43825238360.330002"/>
    <n v="10107904"/>
    <n v="12240688"/>
    <n v="12665607"/>
    <n v="17.920000000000002"/>
    <n v="-3"/>
    <n v="-19.09"/>
    <n v="-10.46"/>
    <n v="62"/>
    <x v="3"/>
    <x v="2"/>
    <x v="1"/>
    <x v="3"/>
    <x v="1"/>
    <n v="8391"/>
    <n v="97.35"/>
    <n v="27.86"/>
    <n v="13.6"/>
    <n v="20.18"/>
  </r>
  <r>
    <s v="2024-09-11"/>
    <x v="11"/>
    <x v="0"/>
    <s v="LTC"/>
    <n v="690548610376.04004"/>
    <n v="34582.449999999997"/>
    <n v="8813848541.9400005"/>
    <n v="9805462"/>
    <n v="13887261"/>
    <n v="14367662"/>
    <n v="16.25"/>
    <n v="3.98"/>
    <n v="8.07"/>
    <n v="36.9"/>
    <n v="152"/>
    <x v="0"/>
    <x v="4"/>
    <x v="4"/>
    <x v="10"/>
    <x v="0"/>
    <n v="28010"/>
    <n v="53.47"/>
    <n v="20.22"/>
    <n v="90.77"/>
    <n v="59.95"/>
  </r>
  <r>
    <s v="2024-07-12"/>
    <x v="0"/>
    <x v="1"/>
    <s v="BNB"/>
    <n v="641702300343.53003"/>
    <n v="53825.86"/>
    <n v="39016983297.910004"/>
    <n v="5427747"/>
    <n v="8615739"/>
    <n v="9162596"/>
    <n v="28.58"/>
    <n v="3.3"/>
    <n v="15.75"/>
    <n v="-7.22"/>
    <n v="190"/>
    <x v="2"/>
    <x v="4"/>
    <x v="2"/>
    <x v="1"/>
    <x v="1"/>
    <n v="17240"/>
    <n v="19.7"/>
    <n v="49.54"/>
    <n v="93.52"/>
    <n v="77.25"/>
  </r>
  <r>
    <s v="2024-12-19"/>
    <x v="4"/>
    <x v="4"/>
    <s v="DOT"/>
    <n v="592676344753.63"/>
    <n v="54889.58"/>
    <n v="28902854511.470001"/>
    <n v="11586694"/>
    <n v="13460114"/>
    <n v="14066162"/>
    <n v="1.4"/>
    <n v="3.96"/>
    <n v="-13.25"/>
    <n v="-6.59"/>
    <n v="9"/>
    <x v="4"/>
    <x v="0"/>
    <x v="4"/>
    <x v="5"/>
    <x v="1"/>
    <n v="17657"/>
    <n v="84.8"/>
    <n v="69.73"/>
    <n v="20.56"/>
    <n v="79.2"/>
  </r>
  <r>
    <s v="2024-02-16"/>
    <x v="1"/>
    <x v="9"/>
    <s v="BTC"/>
    <n v="161825556801.57001"/>
    <n v="65366.02"/>
    <n v="28386489107.75"/>
    <n v="18482006"/>
    <n v="21534019"/>
    <n v="22274110"/>
    <n v="29.38"/>
    <n v="-2.75"/>
    <n v="-10.73"/>
    <n v="-1.23"/>
    <n v="25"/>
    <x v="1"/>
    <x v="0"/>
    <x v="0"/>
    <x v="5"/>
    <x v="0"/>
    <n v="16914"/>
    <n v="19.73"/>
    <n v="84.58"/>
    <n v="61.24"/>
    <n v="58.79"/>
  </r>
  <r>
    <s v="2024-10-31"/>
    <x v="10"/>
    <x v="7"/>
    <s v="AVAX"/>
    <n v="338358110978.39001"/>
    <n v="68280.98"/>
    <n v="42000408616.080002"/>
    <n v="5919420"/>
    <n v="5973068"/>
    <n v="6743869"/>
    <n v="46.74"/>
    <n v="1.68"/>
    <n v="-9.39"/>
    <n v="-20.440000000000001"/>
    <n v="136"/>
    <x v="2"/>
    <x v="2"/>
    <x v="4"/>
    <x v="0"/>
    <x v="1"/>
    <n v="41606"/>
    <n v="88.88"/>
    <n v="92.47"/>
    <n v="39"/>
    <n v="94.67"/>
  </r>
  <r>
    <s v="2024-12-24"/>
    <x v="4"/>
    <x v="9"/>
    <s v="BTC"/>
    <n v="367710272104.16998"/>
    <n v="54821.9"/>
    <n v="18224346089.439999"/>
    <n v="5033954"/>
    <n v="7353699"/>
    <n v="8187913"/>
    <n v="42.49"/>
    <n v="1.2"/>
    <n v="-5.85"/>
    <n v="-11.04"/>
    <n v="50"/>
    <x v="1"/>
    <x v="0"/>
    <x v="0"/>
    <x v="3"/>
    <x v="0"/>
    <n v="53685"/>
    <n v="40"/>
    <n v="66.41"/>
    <n v="19.510000000000002"/>
    <n v="60.94"/>
  </r>
  <r>
    <s v="2024-08-26"/>
    <x v="5"/>
    <x v="5"/>
    <s v="XRP"/>
    <n v="897668121703.96997"/>
    <n v="12308.59"/>
    <n v="29215030140.16"/>
    <n v="14251388"/>
    <n v="17799816"/>
    <n v="18120965"/>
    <n v="43.5"/>
    <n v="0.66"/>
    <n v="-19.690000000000001"/>
    <n v="4.8099999999999996"/>
    <n v="59"/>
    <x v="3"/>
    <x v="3"/>
    <x v="0"/>
    <x v="12"/>
    <x v="2"/>
    <n v="32986"/>
    <n v="43.31"/>
    <n v="39.08"/>
    <n v="51.98"/>
    <n v="45.88"/>
  </r>
  <r>
    <s v="2024-04-22"/>
    <x v="8"/>
    <x v="7"/>
    <s v="AVAX"/>
    <n v="308481680585.72998"/>
    <n v="17284.7"/>
    <n v="30233449497"/>
    <n v="18619396"/>
    <n v="22060310"/>
    <n v="22822271"/>
    <n v="38.24"/>
    <n v="-3.14"/>
    <n v="8.43"/>
    <n v="-23.9"/>
    <n v="185"/>
    <x v="1"/>
    <x v="1"/>
    <x v="2"/>
    <x v="7"/>
    <x v="1"/>
    <n v="58734"/>
    <n v="91.1"/>
    <n v="53.61"/>
    <n v="21.75"/>
    <n v="90.48"/>
  </r>
  <r>
    <s v="2024-08-04"/>
    <x v="5"/>
    <x v="4"/>
    <s v="DOT"/>
    <n v="693964759248.56006"/>
    <n v="53494.98"/>
    <n v="17320750353.689999"/>
    <n v="12289593"/>
    <n v="12394844"/>
    <n v="12898047"/>
    <n v="21.67"/>
    <n v="-1.68"/>
    <n v="8.2100000000000009"/>
    <n v="12.82"/>
    <n v="150"/>
    <x v="1"/>
    <x v="0"/>
    <x v="1"/>
    <x v="0"/>
    <x v="1"/>
    <n v="49548"/>
    <n v="79.040000000000006"/>
    <n v="62.61"/>
    <n v="37.71"/>
    <n v="65.61"/>
  </r>
  <r>
    <s v="2024-03-06"/>
    <x v="9"/>
    <x v="7"/>
    <s v="AVAX"/>
    <n v="720777937524"/>
    <n v="2406.94"/>
    <n v="22877504691.720001"/>
    <n v="12601661"/>
    <n v="17531757"/>
    <n v="17883814"/>
    <n v="51.72"/>
    <n v="3.67"/>
    <n v="-1.91"/>
    <n v="25.6"/>
    <n v="64"/>
    <x v="4"/>
    <x v="3"/>
    <x v="2"/>
    <x v="9"/>
    <x v="1"/>
    <n v="32659"/>
    <n v="68.27"/>
    <n v="95.81"/>
    <n v="77.41"/>
    <n v="80.02"/>
  </r>
  <r>
    <s v="2024-05-30"/>
    <x v="6"/>
    <x v="4"/>
    <s v="DOT"/>
    <n v="403935937752.40002"/>
    <n v="18389.189999999999"/>
    <n v="20783008872.619999"/>
    <n v="7843578"/>
    <n v="8573393"/>
    <n v="9040991"/>
    <n v="55.04"/>
    <n v="-3.38"/>
    <n v="-9.41"/>
    <n v="16.170000000000002"/>
    <n v="96"/>
    <x v="1"/>
    <x v="3"/>
    <x v="4"/>
    <x v="11"/>
    <x v="1"/>
    <n v="14602"/>
    <n v="33.08"/>
    <n v="64.260000000000005"/>
    <n v="48.64"/>
    <n v="44.56"/>
  </r>
  <r>
    <s v="2024-10-13"/>
    <x v="10"/>
    <x v="7"/>
    <s v="AVAX"/>
    <n v="620792895933.73999"/>
    <n v="47492.18"/>
    <n v="13829459911.530001"/>
    <n v="2733269"/>
    <n v="3196439"/>
    <n v="4170183"/>
    <n v="20.62"/>
    <n v="2.5499999999999998"/>
    <n v="-1.47"/>
    <n v="-16.21"/>
    <n v="42"/>
    <x v="3"/>
    <x v="0"/>
    <x v="0"/>
    <x v="0"/>
    <x v="1"/>
    <n v="60634"/>
    <n v="28.1"/>
    <n v="93.72"/>
    <n v="64.94"/>
    <n v="77.959999999999994"/>
  </r>
  <r>
    <s v="2024-10-16"/>
    <x v="10"/>
    <x v="3"/>
    <s v="SOL"/>
    <n v="668035284508.59998"/>
    <n v="54986.49"/>
    <n v="36582129379.550003"/>
    <n v="16972637"/>
    <n v="20190516"/>
    <n v="20717912"/>
    <n v="5.48"/>
    <n v="3.38"/>
    <n v="2.29"/>
    <n v="-28.46"/>
    <n v="164"/>
    <x v="4"/>
    <x v="2"/>
    <x v="4"/>
    <x v="8"/>
    <x v="1"/>
    <n v="41901"/>
    <n v="56.57"/>
    <n v="94.06"/>
    <n v="20.82"/>
    <n v="92.21"/>
  </r>
  <r>
    <s v="2024-03-14"/>
    <x v="9"/>
    <x v="0"/>
    <s v="LTC"/>
    <n v="193650437793.67001"/>
    <n v="34043.360000000001"/>
    <n v="39988542177.889999"/>
    <n v="13415842"/>
    <n v="14057054"/>
    <n v="14973914"/>
    <n v="21.7"/>
    <n v="0.89"/>
    <n v="9.5500000000000007"/>
    <n v="12.13"/>
    <n v="78"/>
    <x v="0"/>
    <x v="3"/>
    <x v="4"/>
    <x v="13"/>
    <x v="0"/>
    <n v="28124"/>
    <n v="70.84"/>
    <n v="52.61"/>
    <n v="61.74"/>
    <n v="70.13"/>
  </r>
  <r>
    <s v="2024-02-21"/>
    <x v="1"/>
    <x v="5"/>
    <s v="XRP"/>
    <n v="696157724604.56006"/>
    <n v="11485.38"/>
    <n v="24863453202.060001"/>
    <n v="17742591"/>
    <n v="20284971"/>
    <n v="20724446"/>
    <n v="57.3"/>
    <n v="4.8"/>
    <n v="-11.88"/>
    <n v="-38.01"/>
    <n v="172"/>
    <x v="1"/>
    <x v="2"/>
    <x v="2"/>
    <x v="1"/>
    <x v="2"/>
    <n v="53669"/>
    <n v="59.69"/>
    <n v="27.5"/>
    <n v="79.47"/>
    <n v="46.24"/>
  </r>
  <r>
    <s v="2024-01-10"/>
    <x v="2"/>
    <x v="8"/>
    <s v="ETH"/>
    <n v="602766715476.90002"/>
    <n v="5568.58"/>
    <n v="47954411560.809998"/>
    <n v="5127414"/>
    <n v="5493375"/>
    <n v="6315387"/>
    <n v="46.97"/>
    <n v="-1.58"/>
    <n v="10.54"/>
    <n v="-33.5"/>
    <n v="149"/>
    <x v="2"/>
    <x v="0"/>
    <x v="0"/>
    <x v="8"/>
    <x v="1"/>
    <n v="2606"/>
    <n v="46.49"/>
    <n v="74.58"/>
    <n v="10.44"/>
    <n v="13.94"/>
  </r>
  <r>
    <s v="2024-08-21"/>
    <x v="5"/>
    <x v="3"/>
    <s v="SOL"/>
    <n v="363555136583.46002"/>
    <n v="48730.22"/>
    <n v="4558761819.4700003"/>
    <n v="7103221"/>
    <n v="9712698"/>
    <n v="9749621"/>
    <n v="19.989999999999998"/>
    <n v="-3.42"/>
    <n v="-1.84"/>
    <n v="18.64"/>
    <n v="193"/>
    <x v="2"/>
    <x v="3"/>
    <x v="4"/>
    <x v="3"/>
    <x v="1"/>
    <n v="38886"/>
    <n v="65.45"/>
    <n v="38.24"/>
    <n v="34.56"/>
    <n v="45.63"/>
  </r>
  <r>
    <s v="2024-11-12"/>
    <x v="3"/>
    <x v="5"/>
    <s v="XRP"/>
    <n v="740855006483.94995"/>
    <n v="68184.17"/>
    <n v="35113312191.360001"/>
    <n v="12336562"/>
    <n v="16757028"/>
    <n v="17089468"/>
    <n v="18.649999999999999"/>
    <n v="-0.32"/>
    <n v="7.89"/>
    <n v="4.28"/>
    <n v="13"/>
    <x v="3"/>
    <x v="1"/>
    <x v="0"/>
    <x v="13"/>
    <x v="2"/>
    <n v="63827"/>
    <n v="20.149999999999999"/>
    <n v="87.19"/>
    <n v="93.55"/>
    <n v="95.15"/>
  </r>
  <r>
    <s v="2024-05-01"/>
    <x v="6"/>
    <x v="8"/>
    <s v="ETH"/>
    <n v="414339851215.47998"/>
    <n v="31097.86"/>
    <n v="31269510935.759998"/>
    <n v="4107394"/>
    <n v="7679721"/>
    <n v="8110684"/>
    <n v="38.76"/>
    <n v="0.62"/>
    <n v="-2.98"/>
    <n v="-18.14"/>
    <n v="15"/>
    <x v="0"/>
    <x v="3"/>
    <x v="4"/>
    <x v="0"/>
    <x v="1"/>
    <n v="56388"/>
    <n v="21.51"/>
    <n v="23.16"/>
    <n v="47.56"/>
    <n v="19.78"/>
  </r>
  <r>
    <s v="2024-09-01"/>
    <x v="11"/>
    <x v="2"/>
    <s v="ADA"/>
    <n v="491335867293.84003"/>
    <n v="4031.07"/>
    <n v="33565013468.970001"/>
    <n v="18564349"/>
    <n v="22054527"/>
    <n v="22784690"/>
    <n v="32.43"/>
    <n v="0.33"/>
    <n v="-11.05"/>
    <n v="21.45"/>
    <n v="166"/>
    <x v="4"/>
    <x v="3"/>
    <x v="1"/>
    <x v="1"/>
    <x v="1"/>
    <n v="48903"/>
    <n v="28.57"/>
    <n v="69.94"/>
    <n v="49.93"/>
    <n v="65.2"/>
  </r>
  <r>
    <s v="2024-01-11"/>
    <x v="2"/>
    <x v="7"/>
    <s v="AVAX"/>
    <n v="283576573577.34998"/>
    <n v="45892.800000000003"/>
    <n v="19352830420.009998"/>
    <n v="14179092"/>
    <n v="14192916"/>
    <n v="14434057"/>
    <n v="55.16"/>
    <n v="-3.64"/>
    <n v="4.4000000000000004"/>
    <n v="-24.82"/>
    <n v="57"/>
    <x v="3"/>
    <x v="4"/>
    <x v="2"/>
    <x v="9"/>
    <x v="1"/>
    <n v="43410"/>
    <n v="17.97"/>
    <n v="30.61"/>
    <n v="15.45"/>
    <n v="98.99"/>
  </r>
  <r>
    <s v="2024-04-09"/>
    <x v="8"/>
    <x v="3"/>
    <s v="SOL"/>
    <n v="419416624022.23999"/>
    <n v="57125.599999999999"/>
    <n v="37440392406.129997"/>
    <n v="10523626"/>
    <n v="10643639"/>
    <n v="11080896"/>
    <n v="47.75"/>
    <n v="3.83"/>
    <n v="1.57"/>
    <n v="13.33"/>
    <n v="140"/>
    <x v="1"/>
    <x v="0"/>
    <x v="3"/>
    <x v="12"/>
    <x v="1"/>
    <n v="32402"/>
    <n v="85.28"/>
    <n v="87.2"/>
    <n v="46.39"/>
    <n v="93.53"/>
  </r>
  <r>
    <s v="2024-05-06"/>
    <x v="6"/>
    <x v="3"/>
    <s v="SOL"/>
    <n v="334982739619.22998"/>
    <n v="69671.27"/>
    <n v="45237828552.300003"/>
    <n v="6154333"/>
    <n v="7206633"/>
    <n v="7557521"/>
    <n v="48.39"/>
    <n v="-3.84"/>
    <n v="-15.5"/>
    <n v="-6.52"/>
    <n v="123"/>
    <x v="1"/>
    <x v="4"/>
    <x v="3"/>
    <x v="9"/>
    <x v="1"/>
    <n v="15436"/>
    <n v="20.27"/>
    <n v="95.5"/>
    <n v="62.74"/>
    <n v="65.569999999999993"/>
  </r>
  <r>
    <s v="2024-01-06"/>
    <x v="2"/>
    <x v="2"/>
    <s v="ADA"/>
    <n v="620707347590.68005"/>
    <n v="27430.400000000001"/>
    <n v="32293250578.349998"/>
    <n v="11368921"/>
    <n v="14448510"/>
    <n v="15432431"/>
    <n v="57.61"/>
    <n v="-4.96"/>
    <n v="4.3499999999999996"/>
    <n v="39"/>
    <n v="41"/>
    <x v="1"/>
    <x v="4"/>
    <x v="2"/>
    <x v="10"/>
    <x v="1"/>
    <n v="26674"/>
    <n v="50.07"/>
    <n v="36.130000000000003"/>
    <n v="66.459999999999994"/>
    <n v="28.44"/>
  </r>
  <r>
    <s v="2024-09-26"/>
    <x v="11"/>
    <x v="4"/>
    <s v="DOT"/>
    <n v="788916372642.55005"/>
    <n v="21741.89"/>
    <n v="14331111684.68"/>
    <n v="10344871"/>
    <n v="13814872"/>
    <n v="14546332"/>
    <n v="25.52"/>
    <n v="1.32"/>
    <n v="-8.3800000000000008"/>
    <n v="-24"/>
    <n v="156"/>
    <x v="2"/>
    <x v="1"/>
    <x v="2"/>
    <x v="3"/>
    <x v="1"/>
    <n v="34595"/>
    <n v="92.87"/>
    <n v="79.650000000000006"/>
    <n v="38.5"/>
    <n v="52.9"/>
  </r>
  <r>
    <s v="2024-07-23"/>
    <x v="0"/>
    <x v="7"/>
    <s v="AVAX"/>
    <n v="651899454613.85999"/>
    <n v="50947.73"/>
    <n v="27174639410.950001"/>
    <n v="7583046"/>
    <n v="10104614"/>
    <n v="10799215"/>
    <n v="19.96"/>
    <n v="4.37"/>
    <n v="-13.47"/>
    <n v="-0.2"/>
    <n v="178"/>
    <x v="2"/>
    <x v="4"/>
    <x v="1"/>
    <x v="4"/>
    <x v="1"/>
    <n v="36835"/>
    <n v="35.61"/>
    <n v="73.180000000000007"/>
    <n v="34.17"/>
    <n v="71.989999999999995"/>
  </r>
  <r>
    <s v="2024-05-16"/>
    <x v="6"/>
    <x v="9"/>
    <s v="BTC"/>
    <n v="299196258098.59998"/>
    <n v="36092.11"/>
    <n v="20126400201.759998"/>
    <n v="6157033"/>
    <n v="10571299"/>
    <n v="11326432"/>
    <n v="29.58"/>
    <n v="-2.82"/>
    <n v="2.31"/>
    <n v="26.72"/>
    <n v="189"/>
    <x v="3"/>
    <x v="0"/>
    <x v="1"/>
    <x v="12"/>
    <x v="0"/>
    <n v="14085"/>
    <n v="85.26"/>
    <n v="90.02"/>
    <n v="22.86"/>
    <n v="80.89"/>
  </r>
  <r>
    <s v="2024-08-06"/>
    <x v="5"/>
    <x v="8"/>
    <s v="ETH"/>
    <n v="244668882321.97"/>
    <n v="8528.32"/>
    <n v="8063944899"/>
    <n v="13488343"/>
    <n v="13807700"/>
    <n v="14596751"/>
    <n v="36.53"/>
    <n v="-2.83"/>
    <n v="-5.29"/>
    <n v="-18.07"/>
    <n v="110"/>
    <x v="2"/>
    <x v="3"/>
    <x v="4"/>
    <x v="11"/>
    <x v="1"/>
    <n v="37893"/>
    <n v="73.849999999999994"/>
    <n v="53.47"/>
    <n v="36.93"/>
    <n v="77.59"/>
  </r>
  <r>
    <s v="2024-04-22"/>
    <x v="8"/>
    <x v="6"/>
    <s v="DOGE"/>
    <n v="849574863609.38"/>
    <n v="11619.26"/>
    <n v="12261668299.57"/>
    <n v="13461588"/>
    <n v="14012313"/>
    <n v="14236545"/>
    <n v="12.76"/>
    <n v="2.25"/>
    <n v="-8.1"/>
    <n v="13.79"/>
    <n v="134"/>
    <x v="3"/>
    <x v="0"/>
    <x v="2"/>
    <x v="6"/>
    <x v="0"/>
    <n v="12185"/>
    <n v="61.79"/>
    <n v="82.18"/>
    <n v="35.99"/>
    <n v="21.92"/>
  </r>
  <r>
    <s v="2024-12-11"/>
    <x v="4"/>
    <x v="7"/>
    <s v="AVAX"/>
    <n v="62120274941.25"/>
    <n v="10368.75"/>
    <n v="36812024621.809998"/>
    <n v="18742571"/>
    <n v="19360845"/>
    <n v="19592319"/>
    <n v="55.45"/>
    <n v="-0.33"/>
    <n v="14.94"/>
    <n v="33.340000000000003"/>
    <n v="38"/>
    <x v="2"/>
    <x v="1"/>
    <x v="0"/>
    <x v="5"/>
    <x v="1"/>
    <n v="50689"/>
    <n v="48.17"/>
    <n v="42.37"/>
    <n v="57.23"/>
    <n v="78.37"/>
  </r>
  <r>
    <s v="2024-07-13"/>
    <x v="0"/>
    <x v="9"/>
    <s v="BTC"/>
    <n v="628406486084.10999"/>
    <n v="44895.57"/>
    <n v="8006712967.7200003"/>
    <n v="1098738"/>
    <n v="4487648"/>
    <n v="5423377"/>
    <n v="39.6"/>
    <n v="1.72"/>
    <n v="-9.7200000000000006"/>
    <n v="34.340000000000003"/>
    <n v="182"/>
    <x v="0"/>
    <x v="0"/>
    <x v="1"/>
    <x v="2"/>
    <x v="0"/>
    <n v="8699"/>
    <n v="27.65"/>
    <n v="79.430000000000007"/>
    <n v="12.98"/>
    <n v="62.78"/>
  </r>
  <r>
    <s v="2024-06-17"/>
    <x v="7"/>
    <x v="9"/>
    <s v="BTC"/>
    <n v="487102767544.60999"/>
    <n v="51541.74"/>
    <n v="1886469907.8599999"/>
    <n v="14215071"/>
    <n v="19124508"/>
    <n v="19638066"/>
    <n v="47.96"/>
    <n v="1.86"/>
    <n v="9.18"/>
    <n v="-37.880000000000003"/>
    <n v="54"/>
    <x v="0"/>
    <x v="0"/>
    <x v="2"/>
    <x v="0"/>
    <x v="0"/>
    <n v="1988"/>
    <n v="32.229999999999997"/>
    <n v="77.56"/>
    <n v="66.53"/>
    <n v="16.88"/>
  </r>
  <r>
    <s v="2024-11-12"/>
    <x v="3"/>
    <x v="0"/>
    <s v="LTC"/>
    <n v="63315676452.370003"/>
    <n v="27785.19"/>
    <n v="3202761880.0300002"/>
    <n v="16364109"/>
    <n v="16690417"/>
    <n v="17060632"/>
    <n v="10.92"/>
    <n v="3.81"/>
    <n v="-3.02"/>
    <n v="6.93"/>
    <n v="126"/>
    <x v="3"/>
    <x v="3"/>
    <x v="0"/>
    <x v="12"/>
    <x v="0"/>
    <n v="2299"/>
    <n v="85.88"/>
    <n v="21.93"/>
    <n v="21.1"/>
    <n v="47.65"/>
  </r>
  <r>
    <s v="2024-08-14"/>
    <x v="5"/>
    <x v="8"/>
    <s v="ETH"/>
    <n v="412023910272.40002"/>
    <n v="36343.29"/>
    <n v="6846062907.8500004"/>
    <n v="15244926"/>
    <n v="19694619"/>
    <n v="20329404"/>
    <n v="43.28"/>
    <n v="-3"/>
    <n v="-11.28"/>
    <n v="-23.39"/>
    <n v="92"/>
    <x v="2"/>
    <x v="1"/>
    <x v="4"/>
    <x v="0"/>
    <x v="1"/>
    <n v="45541"/>
    <n v="69.459999999999994"/>
    <n v="34.72"/>
    <n v="74.67"/>
    <n v="13.92"/>
  </r>
  <r>
    <s v="2024-06-03"/>
    <x v="7"/>
    <x v="3"/>
    <s v="SOL"/>
    <n v="580456604920.23999"/>
    <n v="11429.48"/>
    <n v="25938685804.66"/>
    <n v="6371329"/>
    <n v="7774090"/>
    <n v="8144232"/>
    <n v="8.5500000000000007"/>
    <n v="0.03"/>
    <n v="12.37"/>
    <n v="9.26"/>
    <n v="10"/>
    <x v="1"/>
    <x v="1"/>
    <x v="1"/>
    <x v="3"/>
    <x v="1"/>
    <n v="28799"/>
    <n v="33.36"/>
    <n v="59.63"/>
    <n v="76.34"/>
    <n v="92.91"/>
  </r>
  <r>
    <s v="2024-08-13"/>
    <x v="5"/>
    <x v="4"/>
    <s v="DOT"/>
    <n v="837944860209.27002"/>
    <n v="2070.21"/>
    <n v="19294919315.389999"/>
    <n v="5226484"/>
    <n v="7748291"/>
    <n v="8170880"/>
    <n v="50.4"/>
    <n v="-4.12"/>
    <n v="15.37"/>
    <n v="-3.54"/>
    <n v="31"/>
    <x v="1"/>
    <x v="3"/>
    <x v="3"/>
    <x v="7"/>
    <x v="1"/>
    <n v="14346"/>
    <n v="54.71"/>
    <n v="91.23"/>
    <n v="32.07"/>
    <n v="12.24"/>
  </r>
  <r>
    <s v="2024-12-17"/>
    <x v="4"/>
    <x v="3"/>
    <s v="SOL"/>
    <n v="45070171889.010002"/>
    <n v="57632.19"/>
    <n v="33027703821.209999"/>
    <n v="2742724"/>
    <n v="5814833"/>
    <n v="6618776"/>
    <n v="48.48"/>
    <n v="4.0599999999999996"/>
    <n v="0.18"/>
    <n v="38.86"/>
    <n v="73"/>
    <x v="0"/>
    <x v="4"/>
    <x v="0"/>
    <x v="4"/>
    <x v="1"/>
    <n v="26888"/>
    <n v="90.02"/>
    <n v="72.02"/>
    <n v="38.9"/>
    <n v="87.48"/>
  </r>
  <r>
    <s v="2024-04-25"/>
    <x v="8"/>
    <x v="2"/>
    <s v="ADA"/>
    <n v="629281440745.43994"/>
    <n v="16299.54"/>
    <n v="12752256579.5"/>
    <n v="10359773"/>
    <n v="13194164"/>
    <n v="13221315"/>
    <n v="51.12"/>
    <n v="-1.74"/>
    <n v="-3.23"/>
    <n v="34.74"/>
    <n v="22"/>
    <x v="2"/>
    <x v="2"/>
    <x v="3"/>
    <x v="13"/>
    <x v="1"/>
    <n v="52345"/>
    <n v="23.9"/>
    <n v="84.27"/>
    <n v="71.91"/>
    <n v="94.11"/>
  </r>
  <r>
    <s v="2024-01-13"/>
    <x v="2"/>
    <x v="2"/>
    <s v="ADA"/>
    <n v="172781300343.10999"/>
    <n v="60848"/>
    <n v="38843268247.269997"/>
    <n v="3723212"/>
    <n v="8703763"/>
    <n v="9058474"/>
    <n v="22.8"/>
    <n v="-4.8499999999999996"/>
    <n v="-15.67"/>
    <n v="30.68"/>
    <n v="160"/>
    <x v="4"/>
    <x v="4"/>
    <x v="2"/>
    <x v="2"/>
    <x v="1"/>
    <n v="22010"/>
    <n v="66.08"/>
    <n v="84.71"/>
    <n v="36.049999999999997"/>
    <n v="90.06"/>
  </r>
  <r>
    <s v="2024-10-29"/>
    <x v="10"/>
    <x v="8"/>
    <s v="ETH"/>
    <n v="623586178465.97998"/>
    <n v="36848.949999999997"/>
    <n v="4763242934.2299995"/>
    <n v="10277500"/>
    <n v="14901244"/>
    <n v="15015007"/>
    <n v="44.19"/>
    <n v="-3.82"/>
    <n v="13.84"/>
    <n v="-27.07"/>
    <n v="126"/>
    <x v="1"/>
    <x v="4"/>
    <x v="2"/>
    <x v="5"/>
    <x v="1"/>
    <n v="34895"/>
    <n v="85.89"/>
    <n v="39.729999999999997"/>
    <n v="57.11"/>
    <n v="65.989999999999995"/>
  </r>
  <r>
    <s v="2024-08-08"/>
    <x v="5"/>
    <x v="2"/>
    <s v="ADA"/>
    <n v="663539916189.22998"/>
    <n v="15234.38"/>
    <n v="9211164405.3600006"/>
    <n v="3478126"/>
    <n v="4943551"/>
    <n v="5077055"/>
    <n v="53.2"/>
    <n v="-1.53"/>
    <n v="17.93"/>
    <n v="35.86"/>
    <n v="141"/>
    <x v="4"/>
    <x v="4"/>
    <x v="2"/>
    <x v="1"/>
    <x v="1"/>
    <n v="59119"/>
    <n v="27.19"/>
    <n v="44.56"/>
    <n v="31.85"/>
    <n v="26.2"/>
  </r>
  <r>
    <s v="2024-05-20"/>
    <x v="6"/>
    <x v="6"/>
    <s v="DOGE"/>
    <n v="43921662267.290001"/>
    <n v="21349.51"/>
    <n v="8712132616.2700005"/>
    <n v="11175058"/>
    <n v="13084106"/>
    <n v="14013726"/>
    <n v="4.54"/>
    <n v="-3.07"/>
    <n v="-1.73"/>
    <n v="-36.56"/>
    <n v="122"/>
    <x v="4"/>
    <x v="0"/>
    <x v="4"/>
    <x v="0"/>
    <x v="0"/>
    <n v="36262"/>
    <n v="42.96"/>
    <n v="74.11"/>
    <n v="35.54"/>
    <n v="90.86"/>
  </r>
  <r>
    <s v="2024-03-10"/>
    <x v="9"/>
    <x v="0"/>
    <s v="LTC"/>
    <n v="390384473149.09998"/>
    <n v="28697.34"/>
    <n v="44534980456.209999"/>
    <n v="5620707"/>
    <n v="6884128"/>
    <n v="7541199"/>
    <n v="58.2"/>
    <n v="3.64"/>
    <n v="8.89"/>
    <n v="0.51"/>
    <n v="146"/>
    <x v="4"/>
    <x v="0"/>
    <x v="0"/>
    <x v="6"/>
    <x v="0"/>
    <n v="9913"/>
    <n v="43.88"/>
    <n v="46.94"/>
    <n v="77.42"/>
    <n v="95.01"/>
  </r>
  <r>
    <s v="2024-07-27"/>
    <x v="0"/>
    <x v="2"/>
    <s v="ADA"/>
    <n v="508182197894.76001"/>
    <n v="32612.97"/>
    <n v="7997475187.3400002"/>
    <n v="13840827"/>
    <n v="16027777"/>
    <n v="16230260"/>
    <n v="55.59"/>
    <n v="2.4300000000000002"/>
    <n v="-13.49"/>
    <n v="-20.07"/>
    <n v="130"/>
    <x v="2"/>
    <x v="1"/>
    <x v="0"/>
    <x v="8"/>
    <x v="1"/>
    <n v="45529"/>
    <n v="50.12"/>
    <n v="94.03"/>
    <n v="48.27"/>
    <n v="56.55"/>
  </r>
  <r>
    <s v="2024-05-23"/>
    <x v="6"/>
    <x v="1"/>
    <s v="BNB"/>
    <n v="736618822642.31006"/>
    <n v="51960.95"/>
    <n v="178785838.37"/>
    <n v="2133658"/>
    <n v="3796957"/>
    <n v="4032552"/>
    <n v="31.06"/>
    <n v="1.74"/>
    <n v="-17.329999999999998"/>
    <n v="-34.17"/>
    <n v="170"/>
    <x v="1"/>
    <x v="0"/>
    <x v="0"/>
    <x v="12"/>
    <x v="1"/>
    <n v="8539"/>
    <n v="83.32"/>
    <n v="41.65"/>
    <n v="46.25"/>
    <n v="96.86"/>
  </r>
  <r>
    <s v="2024-09-01"/>
    <x v="11"/>
    <x v="0"/>
    <s v="LTC"/>
    <n v="845242832158.59998"/>
    <n v="55649.17"/>
    <n v="27391489479.310001"/>
    <n v="17867186"/>
    <n v="22626706"/>
    <n v="23567088"/>
    <n v="49.46"/>
    <n v="-2.64"/>
    <n v="-15.59"/>
    <n v="7.43"/>
    <n v="136"/>
    <x v="3"/>
    <x v="0"/>
    <x v="0"/>
    <x v="4"/>
    <x v="0"/>
    <n v="1970"/>
    <n v="87.37"/>
    <n v="73.66"/>
    <n v="81.47"/>
    <n v="54.62"/>
  </r>
  <r>
    <s v="2024-11-19"/>
    <x v="3"/>
    <x v="2"/>
    <s v="ADA"/>
    <n v="581917896500.34998"/>
    <n v="65530.75"/>
    <n v="12750561709.610001"/>
    <n v="3516385"/>
    <n v="7197389"/>
    <n v="8078448"/>
    <n v="7.84"/>
    <n v="0.81"/>
    <n v="9.8800000000000008"/>
    <n v="36.4"/>
    <n v="40"/>
    <x v="2"/>
    <x v="1"/>
    <x v="4"/>
    <x v="9"/>
    <x v="1"/>
    <n v="44308"/>
    <n v="41.17"/>
    <n v="76.69"/>
    <n v="96.86"/>
    <n v="11.68"/>
  </r>
  <r>
    <s v="2024-04-09"/>
    <x v="8"/>
    <x v="6"/>
    <s v="DOGE"/>
    <n v="523006696040.65997"/>
    <n v="56478.73"/>
    <n v="35761453952.550003"/>
    <n v="9479417"/>
    <n v="12426299"/>
    <n v="12736953"/>
    <n v="39.01"/>
    <n v="-3.55"/>
    <n v="6.55"/>
    <n v="4.76"/>
    <n v="156"/>
    <x v="3"/>
    <x v="0"/>
    <x v="0"/>
    <x v="2"/>
    <x v="0"/>
    <n v="57577"/>
    <n v="97.23"/>
    <n v="78.459999999999994"/>
    <n v="57.45"/>
    <n v="34.25"/>
  </r>
  <r>
    <s v="2024-10-09"/>
    <x v="10"/>
    <x v="3"/>
    <s v="SOL"/>
    <n v="681027546941.31006"/>
    <n v="57221.79"/>
    <n v="3990581264.04"/>
    <n v="1865294"/>
    <n v="4677576"/>
    <n v="5495234"/>
    <n v="53.84"/>
    <n v="-3.93"/>
    <n v="-13.96"/>
    <n v="10.95"/>
    <n v="144"/>
    <x v="2"/>
    <x v="4"/>
    <x v="3"/>
    <x v="10"/>
    <x v="1"/>
    <n v="38549"/>
    <n v="48.85"/>
    <n v="66.400000000000006"/>
    <n v="45.58"/>
    <n v="23.45"/>
  </r>
  <r>
    <s v="2024-12-30"/>
    <x v="4"/>
    <x v="1"/>
    <s v="BNB"/>
    <n v="24431647304.209999"/>
    <n v="31880.62"/>
    <n v="556122774.97000003"/>
    <n v="15441406"/>
    <n v="16115674"/>
    <n v="17055454"/>
    <n v="46.58"/>
    <n v="-4.24"/>
    <n v="17.57"/>
    <n v="36.36"/>
    <n v="16"/>
    <x v="4"/>
    <x v="0"/>
    <x v="2"/>
    <x v="9"/>
    <x v="1"/>
    <n v="9130"/>
    <n v="15.88"/>
    <n v="78.84"/>
    <n v="70.67"/>
    <n v="72.45"/>
  </r>
  <r>
    <s v="2024-03-02"/>
    <x v="9"/>
    <x v="8"/>
    <s v="ETH"/>
    <n v="188752606768.84"/>
    <n v="32521.47"/>
    <n v="25604877120.759998"/>
    <n v="16810130"/>
    <n v="21279794"/>
    <n v="21757873"/>
    <n v="58.6"/>
    <n v="4.8"/>
    <n v="-18.04"/>
    <n v="25.97"/>
    <n v="181"/>
    <x v="0"/>
    <x v="3"/>
    <x v="2"/>
    <x v="3"/>
    <x v="1"/>
    <n v="14017"/>
    <n v="19.73"/>
    <n v="98.9"/>
    <n v="31.24"/>
    <n v="43.96"/>
  </r>
  <r>
    <s v="2024-04-03"/>
    <x v="8"/>
    <x v="4"/>
    <s v="DOT"/>
    <n v="176238226320.73001"/>
    <n v="36436.71"/>
    <n v="36833840543.510002"/>
    <n v="17023031"/>
    <n v="19599035"/>
    <n v="20202381"/>
    <n v="15.44"/>
    <n v="-2.79"/>
    <n v="18.149999999999999"/>
    <n v="18.18"/>
    <n v="185"/>
    <x v="0"/>
    <x v="3"/>
    <x v="0"/>
    <x v="5"/>
    <x v="1"/>
    <n v="11626"/>
    <n v="36.520000000000003"/>
    <n v="25.09"/>
    <n v="82.66"/>
    <n v="50.01"/>
  </r>
  <r>
    <s v="2024-06-06"/>
    <x v="7"/>
    <x v="9"/>
    <s v="BTC"/>
    <n v="627047598001.29004"/>
    <n v="45980.44"/>
    <n v="7844240700.4499998"/>
    <n v="17246238"/>
    <n v="21753643"/>
    <n v="22692801"/>
    <n v="38.17"/>
    <n v="-3.7"/>
    <n v="15.08"/>
    <n v="-16.87"/>
    <n v="175"/>
    <x v="0"/>
    <x v="0"/>
    <x v="1"/>
    <x v="11"/>
    <x v="0"/>
    <n v="31743"/>
    <n v="64.87"/>
    <n v="78.95"/>
    <n v="52.29"/>
    <n v="13.95"/>
  </r>
  <r>
    <s v="2024-01-31"/>
    <x v="2"/>
    <x v="0"/>
    <s v="LTC"/>
    <n v="332390363445.70001"/>
    <n v="14237.14"/>
    <n v="4271444948.1199999"/>
    <n v="13365187"/>
    <n v="14297881"/>
    <n v="14448576"/>
    <n v="53.04"/>
    <n v="-4.34"/>
    <n v="-14.79"/>
    <n v="9.98"/>
    <n v="36"/>
    <x v="3"/>
    <x v="2"/>
    <x v="2"/>
    <x v="1"/>
    <x v="0"/>
    <n v="2318"/>
    <n v="96.83"/>
    <n v="23.68"/>
    <n v="62.62"/>
    <n v="24.01"/>
  </r>
  <r>
    <s v="2024-01-31"/>
    <x v="2"/>
    <x v="0"/>
    <s v="LTC"/>
    <n v="607597384243.72998"/>
    <n v="20817.97"/>
    <n v="23976213315.240002"/>
    <n v="5445737"/>
    <n v="8080773"/>
    <n v="8406541"/>
    <n v="21.44"/>
    <n v="1.66"/>
    <n v="0.46"/>
    <n v="19.559999999999999"/>
    <n v="179"/>
    <x v="3"/>
    <x v="1"/>
    <x v="2"/>
    <x v="6"/>
    <x v="0"/>
    <n v="21064"/>
    <n v="12.41"/>
    <n v="24.36"/>
    <n v="88.86"/>
    <n v="94.67"/>
  </r>
  <r>
    <s v="2024-12-09"/>
    <x v="4"/>
    <x v="4"/>
    <s v="DOT"/>
    <n v="664991647626.46997"/>
    <n v="57171.22"/>
    <n v="9919719734.0400009"/>
    <n v="6716973"/>
    <n v="10343702"/>
    <n v="10817525"/>
    <n v="44.2"/>
    <n v="1.37"/>
    <n v="16.47"/>
    <n v="-31.22"/>
    <n v="103"/>
    <x v="1"/>
    <x v="0"/>
    <x v="0"/>
    <x v="7"/>
    <x v="1"/>
    <n v="44744"/>
    <n v="97.03"/>
    <n v="38.6"/>
    <n v="76.540000000000006"/>
    <n v="55.75"/>
  </r>
  <r>
    <s v="2024-03-14"/>
    <x v="9"/>
    <x v="6"/>
    <s v="DOGE"/>
    <n v="38011105514.800003"/>
    <n v="26039.200000000001"/>
    <n v="20382525280.900002"/>
    <n v="11776404"/>
    <n v="13024048"/>
    <n v="13446892"/>
    <n v="30.79"/>
    <n v="-3.93"/>
    <n v="-2.71"/>
    <n v="3.75"/>
    <n v="121"/>
    <x v="4"/>
    <x v="4"/>
    <x v="3"/>
    <x v="12"/>
    <x v="0"/>
    <n v="63466"/>
    <n v="84.06"/>
    <n v="94.96"/>
    <n v="33.18"/>
    <n v="17.07"/>
  </r>
  <r>
    <s v="2024-11-16"/>
    <x v="3"/>
    <x v="6"/>
    <s v="DOGE"/>
    <n v="632251589794.19995"/>
    <n v="6650.13"/>
    <n v="22193292506.68"/>
    <n v="4479754"/>
    <n v="6054166"/>
    <n v="6411646"/>
    <n v="57.22"/>
    <n v="2.73"/>
    <n v="4.43"/>
    <n v="-4.68"/>
    <n v="24"/>
    <x v="0"/>
    <x v="4"/>
    <x v="3"/>
    <x v="11"/>
    <x v="0"/>
    <n v="11654"/>
    <n v="46.75"/>
    <n v="89.76"/>
    <n v="70.03"/>
    <n v="12.93"/>
  </r>
  <r>
    <s v="2024-10-25"/>
    <x v="10"/>
    <x v="5"/>
    <s v="XRP"/>
    <n v="417179388999.47998"/>
    <n v="15011.66"/>
    <n v="28168082131.459999"/>
    <n v="12520080"/>
    <n v="14471303"/>
    <n v="14764202"/>
    <n v="46.15"/>
    <n v="-2.2000000000000002"/>
    <n v="-13.27"/>
    <n v="12.53"/>
    <n v="11"/>
    <x v="3"/>
    <x v="2"/>
    <x v="2"/>
    <x v="9"/>
    <x v="2"/>
    <n v="7054"/>
    <n v="90.51"/>
    <n v="37.78"/>
    <n v="59.64"/>
    <n v="80.58"/>
  </r>
  <r>
    <s v="2024-01-27"/>
    <x v="2"/>
    <x v="7"/>
    <s v="AVAX"/>
    <n v="296788230013.45001"/>
    <n v="49732.43"/>
    <n v="15208294105.459999"/>
    <n v="15991625"/>
    <n v="18147339"/>
    <n v="18725034"/>
    <n v="1.31"/>
    <n v="2.57"/>
    <n v="11.98"/>
    <n v="-15.54"/>
    <n v="101"/>
    <x v="3"/>
    <x v="4"/>
    <x v="4"/>
    <x v="8"/>
    <x v="1"/>
    <n v="51365"/>
    <n v="41.24"/>
    <n v="51.32"/>
    <n v="33.33"/>
    <n v="69.489999999999995"/>
  </r>
  <r>
    <s v="2024-02-14"/>
    <x v="1"/>
    <x v="0"/>
    <s v="LTC"/>
    <n v="164510085291.56"/>
    <n v="44901.88"/>
    <n v="2290307552.29"/>
    <n v="9656088"/>
    <n v="12959712"/>
    <n v="13713434"/>
    <n v="45.08"/>
    <n v="1.33"/>
    <n v="1.64"/>
    <n v="12.17"/>
    <n v="68"/>
    <x v="2"/>
    <x v="2"/>
    <x v="3"/>
    <x v="10"/>
    <x v="0"/>
    <n v="31059"/>
    <n v="56.04"/>
    <n v="44.33"/>
    <n v="32.54"/>
    <n v="45.56"/>
  </r>
  <r>
    <s v="2024-01-20"/>
    <x v="2"/>
    <x v="0"/>
    <s v="LTC"/>
    <n v="105800967358.99001"/>
    <n v="46629.31"/>
    <n v="47168548402.220001"/>
    <n v="9017504"/>
    <n v="10602868"/>
    <n v="11475518"/>
    <n v="59.84"/>
    <n v="3.47"/>
    <n v="-1.62"/>
    <n v="-7.04"/>
    <n v="40"/>
    <x v="3"/>
    <x v="1"/>
    <x v="0"/>
    <x v="6"/>
    <x v="0"/>
    <n v="44447"/>
    <n v="37.94"/>
    <n v="88.87"/>
    <n v="92.76"/>
    <n v="25.74"/>
  </r>
  <r>
    <s v="2024-09-26"/>
    <x v="11"/>
    <x v="8"/>
    <s v="ETH"/>
    <n v="63746959326.080002"/>
    <n v="43965.08"/>
    <n v="2422810980.1599998"/>
    <n v="8299532"/>
    <n v="9166830"/>
    <n v="9318196"/>
    <n v="30.93"/>
    <n v="-2"/>
    <n v="-13.51"/>
    <n v="35.799999999999997"/>
    <n v="2"/>
    <x v="4"/>
    <x v="0"/>
    <x v="0"/>
    <x v="13"/>
    <x v="1"/>
    <n v="8025"/>
    <n v="34.85"/>
    <n v="72.7"/>
    <n v="78.650000000000006"/>
    <n v="98.22"/>
  </r>
  <r>
    <s v="2024-10-05"/>
    <x v="10"/>
    <x v="2"/>
    <s v="ADA"/>
    <n v="313988153038.5"/>
    <n v="28402.9"/>
    <n v="42390434887.779999"/>
    <n v="17245031"/>
    <n v="21225823"/>
    <n v="21496193"/>
    <n v="50.71"/>
    <n v="-2.4"/>
    <n v="13.26"/>
    <n v="-7.42"/>
    <n v="164"/>
    <x v="2"/>
    <x v="3"/>
    <x v="4"/>
    <x v="0"/>
    <x v="1"/>
    <n v="5346"/>
    <n v="61.49"/>
    <n v="82.44"/>
    <n v="40.24"/>
    <n v="89.19"/>
  </r>
  <r>
    <s v="2024-04-17"/>
    <x v="8"/>
    <x v="9"/>
    <s v="BTC"/>
    <n v="647735759083.84998"/>
    <n v="25629.21"/>
    <n v="46828314768.330002"/>
    <n v="18269156"/>
    <n v="20303217"/>
    <n v="20380192"/>
    <n v="13.19"/>
    <n v="0.09"/>
    <n v="18.829999999999998"/>
    <n v="-27.81"/>
    <n v="156"/>
    <x v="2"/>
    <x v="2"/>
    <x v="3"/>
    <x v="3"/>
    <x v="0"/>
    <n v="13265"/>
    <n v="31.41"/>
    <n v="74.22"/>
    <n v="94.04"/>
    <n v="10.4"/>
  </r>
  <r>
    <s v="2024-05-08"/>
    <x v="6"/>
    <x v="3"/>
    <s v="SOL"/>
    <n v="822278435134.35999"/>
    <n v="15719.32"/>
    <n v="17280246416.52"/>
    <n v="10842862"/>
    <n v="14319929"/>
    <n v="15047727"/>
    <n v="26.21"/>
    <n v="-2.54"/>
    <n v="19.25"/>
    <n v="0.32"/>
    <n v="2"/>
    <x v="1"/>
    <x v="0"/>
    <x v="2"/>
    <x v="10"/>
    <x v="1"/>
    <n v="17546"/>
    <n v="45.9"/>
    <n v="33.46"/>
    <n v="73.12"/>
    <n v="74.75"/>
  </r>
  <r>
    <s v="2024-04-02"/>
    <x v="8"/>
    <x v="3"/>
    <s v="SOL"/>
    <n v="531556252552.70001"/>
    <n v="9364.99"/>
    <n v="4198105571.2199998"/>
    <n v="14827611"/>
    <n v="18237612"/>
    <n v="18431903"/>
    <n v="26.25"/>
    <n v="-4.84"/>
    <n v="-6.28"/>
    <n v="-2.4500000000000002"/>
    <n v="47"/>
    <x v="4"/>
    <x v="0"/>
    <x v="1"/>
    <x v="5"/>
    <x v="1"/>
    <n v="39091"/>
    <n v="33.72"/>
    <n v="80.5"/>
    <n v="71.02"/>
    <n v="38.75"/>
  </r>
  <r>
    <s v="2024-05-09"/>
    <x v="6"/>
    <x v="2"/>
    <s v="ADA"/>
    <n v="174169027938.19"/>
    <n v="54591.25"/>
    <n v="23285583413.34"/>
    <n v="14737066"/>
    <n v="15954394"/>
    <n v="16326825"/>
    <n v="26.65"/>
    <n v="4.76"/>
    <n v="-10.88"/>
    <n v="-29.13"/>
    <n v="64"/>
    <x v="0"/>
    <x v="1"/>
    <x v="2"/>
    <x v="12"/>
    <x v="1"/>
    <n v="10234"/>
    <n v="70.099999999999994"/>
    <n v="67.930000000000007"/>
    <n v="41.93"/>
    <n v="41.92"/>
  </r>
  <r>
    <s v="2024-08-20"/>
    <x v="5"/>
    <x v="6"/>
    <s v="DOGE"/>
    <n v="113738559520.34"/>
    <n v="17713.25"/>
    <n v="16084664497.059999"/>
    <n v="15051957"/>
    <n v="16318849"/>
    <n v="17032450"/>
    <n v="50.5"/>
    <n v="-2.94"/>
    <n v="-2.91"/>
    <n v="-35.54"/>
    <n v="178"/>
    <x v="1"/>
    <x v="1"/>
    <x v="2"/>
    <x v="7"/>
    <x v="0"/>
    <n v="16693"/>
    <n v="56.27"/>
    <n v="41.64"/>
    <n v="55.98"/>
    <n v="97.45"/>
  </r>
  <r>
    <s v="2024-02-25"/>
    <x v="1"/>
    <x v="8"/>
    <s v="ETH"/>
    <n v="250047286919.94"/>
    <n v="28157.49"/>
    <n v="40096458345.739998"/>
    <n v="13180472"/>
    <n v="17603905"/>
    <n v="17650049"/>
    <n v="26.7"/>
    <n v="-2.98"/>
    <n v="-4.09"/>
    <n v="28.4"/>
    <n v="117"/>
    <x v="4"/>
    <x v="1"/>
    <x v="2"/>
    <x v="3"/>
    <x v="1"/>
    <n v="38595"/>
    <n v="79.11"/>
    <n v="51.76"/>
    <n v="32.79"/>
    <n v="61.43"/>
  </r>
  <r>
    <s v="2024-05-01"/>
    <x v="6"/>
    <x v="4"/>
    <s v="DOT"/>
    <n v="786158810876.95996"/>
    <n v="68085.05"/>
    <n v="1427279646.9400001"/>
    <n v="2954209"/>
    <n v="5358891"/>
    <n v="5799167"/>
    <n v="44.54"/>
    <n v="-2.74"/>
    <n v="-4.66"/>
    <n v="-36.08"/>
    <n v="22"/>
    <x v="4"/>
    <x v="0"/>
    <x v="1"/>
    <x v="1"/>
    <x v="1"/>
    <n v="53441"/>
    <n v="98.03"/>
    <n v="76.94"/>
    <n v="64.28"/>
    <n v="57.55"/>
  </r>
  <r>
    <s v="2024-06-13"/>
    <x v="7"/>
    <x v="5"/>
    <s v="XRP"/>
    <n v="281360243414.66998"/>
    <n v="18157.45"/>
    <n v="42333344169.190002"/>
    <n v="6347874"/>
    <n v="7584538"/>
    <n v="7596796"/>
    <n v="20.89"/>
    <n v="4.88"/>
    <n v="-9.7100000000000009"/>
    <n v="-31.39"/>
    <n v="44"/>
    <x v="1"/>
    <x v="3"/>
    <x v="1"/>
    <x v="6"/>
    <x v="2"/>
    <n v="25440"/>
    <n v="89.29"/>
    <n v="58.31"/>
    <n v="90.91"/>
    <n v="23.59"/>
  </r>
  <r>
    <s v="2024-10-23"/>
    <x v="10"/>
    <x v="2"/>
    <s v="ADA"/>
    <n v="234791954371.51001"/>
    <n v="53282.75"/>
    <n v="25980798344.490002"/>
    <n v="8430274"/>
    <n v="8506797"/>
    <n v="8874765"/>
    <n v="32.15"/>
    <n v="2.64"/>
    <n v="16.5"/>
    <n v="1.78"/>
    <n v="193"/>
    <x v="2"/>
    <x v="2"/>
    <x v="3"/>
    <x v="2"/>
    <x v="1"/>
    <n v="28142"/>
    <n v="43.33"/>
    <n v="20.149999999999999"/>
    <n v="59.54"/>
    <n v="69.3"/>
  </r>
  <r>
    <s v="2024-09-18"/>
    <x v="11"/>
    <x v="1"/>
    <s v="BNB"/>
    <n v="775705082190.81006"/>
    <n v="11449.41"/>
    <n v="40257760526.330002"/>
    <n v="3804465"/>
    <n v="5063347"/>
    <n v="5517521"/>
    <n v="4.96"/>
    <n v="2.42"/>
    <n v="-15.56"/>
    <n v="-5.54"/>
    <n v="43"/>
    <x v="2"/>
    <x v="4"/>
    <x v="3"/>
    <x v="10"/>
    <x v="1"/>
    <n v="47878"/>
    <n v="86.28"/>
    <n v="90.03"/>
    <n v="10.47"/>
    <n v="31.89"/>
  </r>
  <r>
    <s v="2024-12-23"/>
    <x v="4"/>
    <x v="5"/>
    <s v="XRP"/>
    <n v="2684203220.3099999"/>
    <n v="246.79"/>
    <n v="37271441569.669998"/>
    <n v="15777411"/>
    <n v="16909840"/>
    <n v="17230882"/>
    <n v="4.09"/>
    <n v="-0.3"/>
    <n v="14.43"/>
    <n v="-38.85"/>
    <n v="102"/>
    <x v="2"/>
    <x v="2"/>
    <x v="0"/>
    <x v="0"/>
    <x v="2"/>
    <n v="31612"/>
    <n v="87.18"/>
    <n v="87.48"/>
    <n v="60.66"/>
    <n v="30.59"/>
  </r>
  <r>
    <s v="2024-10-10"/>
    <x v="10"/>
    <x v="4"/>
    <s v="DOT"/>
    <n v="600777000530.05005"/>
    <n v="59067.94"/>
    <n v="49845590682.910004"/>
    <n v="18643925"/>
    <n v="21615146"/>
    <n v="22357582"/>
    <n v="23.26"/>
    <n v="4.33"/>
    <n v="-6.93"/>
    <n v="-4.08"/>
    <n v="69"/>
    <x v="2"/>
    <x v="0"/>
    <x v="0"/>
    <x v="6"/>
    <x v="1"/>
    <n v="4327"/>
    <n v="44.12"/>
    <n v="48.36"/>
    <n v="79.47"/>
    <n v="91.95"/>
  </r>
  <r>
    <s v="2024-04-11"/>
    <x v="8"/>
    <x v="0"/>
    <s v="LTC"/>
    <n v="203224834462.76999"/>
    <n v="5406.48"/>
    <n v="12641568755.52"/>
    <n v="12408424"/>
    <n v="14528774"/>
    <n v="15511022"/>
    <n v="52.85"/>
    <n v="-0.3"/>
    <n v="-1.84"/>
    <n v="-11.03"/>
    <n v="102"/>
    <x v="2"/>
    <x v="2"/>
    <x v="4"/>
    <x v="6"/>
    <x v="0"/>
    <n v="48504"/>
    <n v="84.49"/>
    <n v="40.729999999999997"/>
    <n v="77.010000000000005"/>
    <n v="87.59"/>
  </r>
  <r>
    <s v="2024-03-28"/>
    <x v="9"/>
    <x v="6"/>
    <s v="DOGE"/>
    <n v="670110165525.38"/>
    <n v="59570.84"/>
    <n v="27153838543.82"/>
    <n v="1817386"/>
    <n v="2016919"/>
    <n v="2242316"/>
    <n v="1.01"/>
    <n v="-4.53"/>
    <n v="-5.27"/>
    <n v="16.52"/>
    <n v="72"/>
    <x v="3"/>
    <x v="1"/>
    <x v="3"/>
    <x v="8"/>
    <x v="0"/>
    <n v="31252"/>
    <n v="70.569999999999993"/>
    <n v="38.479999999999997"/>
    <n v="70.400000000000006"/>
    <n v="26.36"/>
  </r>
  <r>
    <s v="2024-05-12"/>
    <x v="6"/>
    <x v="1"/>
    <s v="BNB"/>
    <n v="81839185074.960007"/>
    <n v="12543.67"/>
    <n v="37209381981.849998"/>
    <n v="6723692"/>
    <n v="9109761"/>
    <n v="9965789"/>
    <n v="43"/>
    <n v="1.94"/>
    <n v="-10.88"/>
    <n v="39.99"/>
    <n v="55"/>
    <x v="2"/>
    <x v="0"/>
    <x v="1"/>
    <x v="4"/>
    <x v="1"/>
    <n v="57912"/>
    <n v="99.5"/>
    <n v="44.81"/>
    <n v="85.96"/>
    <n v="61.33"/>
  </r>
  <r>
    <s v="2024-11-14"/>
    <x v="3"/>
    <x v="2"/>
    <s v="ADA"/>
    <n v="361810093892.54999"/>
    <n v="60165.919999999998"/>
    <n v="30623760650.34"/>
    <n v="10141676"/>
    <n v="12773688"/>
    <n v="13589662"/>
    <n v="13.69"/>
    <n v="-2.4700000000000002"/>
    <n v="16.59"/>
    <n v="12.8"/>
    <n v="40"/>
    <x v="1"/>
    <x v="4"/>
    <x v="2"/>
    <x v="5"/>
    <x v="1"/>
    <n v="44950"/>
    <n v="13.91"/>
    <n v="65.790000000000006"/>
    <n v="74.48"/>
    <n v="34.22"/>
  </r>
  <r>
    <s v="2024-06-19"/>
    <x v="7"/>
    <x v="3"/>
    <s v="SOL"/>
    <n v="427409853534.37"/>
    <n v="2664.23"/>
    <n v="34459875582.230003"/>
    <n v="16601925"/>
    <n v="19269441"/>
    <n v="19482321"/>
    <n v="36.770000000000003"/>
    <n v="-2.95"/>
    <n v="-15.44"/>
    <n v="37.049999999999997"/>
    <n v="161"/>
    <x v="0"/>
    <x v="1"/>
    <x v="1"/>
    <x v="4"/>
    <x v="1"/>
    <n v="19193"/>
    <n v="14.48"/>
    <n v="87.67"/>
    <n v="23.88"/>
    <n v="90.66"/>
  </r>
  <r>
    <s v="2024-01-01"/>
    <x v="2"/>
    <x v="7"/>
    <s v="AVAX"/>
    <n v="822010043690.20996"/>
    <n v="47609.27"/>
    <n v="20311301192.419998"/>
    <n v="1059785"/>
    <n v="4791453"/>
    <n v="5476967"/>
    <n v="33.770000000000003"/>
    <n v="4.92"/>
    <n v="6.58"/>
    <n v="7.12"/>
    <n v="17"/>
    <x v="1"/>
    <x v="4"/>
    <x v="3"/>
    <x v="8"/>
    <x v="1"/>
    <n v="33866"/>
    <n v="69.87"/>
    <n v="97.7"/>
    <n v="80.790000000000006"/>
    <n v="43.52"/>
  </r>
  <r>
    <s v="2024-10-27"/>
    <x v="10"/>
    <x v="4"/>
    <s v="DOT"/>
    <n v="365675340348.85999"/>
    <n v="50594"/>
    <n v="36609147190.279999"/>
    <n v="11871523"/>
    <n v="14608408"/>
    <n v="14883627"/>
    <n v="41.86"/>
    <n v="0.44"/>
    <n v="19.23"/>
    <n v="25.53"/>
    <n v="198"/>
    <x v="4"/>
    <x v="0"/>
    <x v="4"/>
    <x v="6"/>
    <x v="1"/>
    <n v="19229"/>
    <n v="34.24"/>
    <n v="45.18"/>
    <n v="36.619999999999997"/>
    <n v="26.82"/>
  </r>
  <r>
    <s v="2024-02-07"/>
    <x v="1"/>
    <x v="2"/>
    <s v="ADA"/>
    <n v="193150184655.32001"/>
    <n v="38245.660000000003"/>
    <n v="37255227700.339996"/>
    <n v="8997928"/>
    <n v="9543992"/>
    <n v="10035806"/>
    <n v="10.58"/>
    <n v="-1.59"/>
    <n v="-13.69"/>
    <n v="22.87"/>
    <n v="189"/>
    <x v="4"/>
    <x v="4"/>
    <x v="2"/>
    <x v="1"/>
    <x v="1"/>
    <n v="18099"/>
    <n v="73.41"/>
    <n v="68.61"/>
    <n v="94.62"/>
    <n v="70.42"/>
  </r>
  <r>
    <s v="2024-03-18"/>
    <x v="9"/>
    <x v="2"/>
    <s v="ADA"/>
    <n v="206891949958.38"/>
    <n v="38716.43"/>
    <n v="37201809057.550003"/>
    <n v="16188997"/>
    <n v="19597551"/>
    <n v="20512687"/>
    <n v="37.81"/>
    <n v="4.43"/>
    <n v="-2.11"/>
    <n v="3.58"/>
    <n v="84"/>
    <x v="1"/>
    <x v="2"/>
    <x v="1"/>
    <x v="10"/>
    <x v="1"/>
    <n v="17600"/>
    <n v="76.489999999999995"/>
    <n v="52.48"/>
    <n v="45.52"/>
    <n v="56.11"/>
  </r>
  <r>
    <s v="2024-02-03"/>
    <x v="1"/>
    <x v="0"/>
    <s v="LTC"/>
    <n v="282767959474.67999"/>
    <n v="50853.43"/>
    <n v="44340563741.349998"/>
    <n v="18872243"/>
    <n v="21682638"/>
    <n v="22067128"/>
    <n v="41.01"/>
    <n v="0.22"/>
    <n v="5.23"/>
    <n v="-28.36"/>
    <n v="112"/>
    <x v="4"/>
    <x v="4"/>
    <x v="4"/>
    <x v="2"/>
    <x v="0"/>
    <n v="25509"/>
    <n v="47.72"/>
    <n v="30.02"/>
    <n v="19.739999999999998"/>
    <n v="72.67"/>
  </r>
  <r>
    <s v="2024-12-19"/>
    <x v="4"/>
    <x v="4"/>
    <s v="DOT"/>
    <n v="246778604288.29001"/>
    <n v="30088.37"/>
    <n v="43138743021.510002"/>
    <n v="7308558"/>
    <n v="10121642"/>
    <n v="10772392"/>
    <n v="49.68"/>
    <n v="2.36"/>
    <n v="-1.08"/>
    <n v="-6.58"/>
    <n v="112"/>
    <x v="4"/>
    <x v="1"/>
    <x v="0"/>
    <x v="8"/>
    <x v="1"/>
    <n v="27930"/>
    <n v="55.31"/>
    <n v="43.71"/>
    <n v="66.39"/>
    <n v="71.41"/>
  </r>
  <r>
    <s v="2024-04-05"/>
    <x v="8"/>
    <x v="2"/>
    <s v="ADA"/>
    <n v="185339598511.84"/>
    <n v="19936.189999999999"/>
    <n v="30236914558.5"/>
    <n v="16223284"/>
    <n v="21177716"/>
    <n v="21932269"/>
    <n v="38.53"/>
    <n v="1.01"/>
    <n v="-12.08"/>
    <n v="4.67"/>
    <n v="177"/>
    <x v="2"/>
    <x v="0"/>
    <x v="3"/>
    <x v="13"/>
    <x v="1"/>
    <n v="1088"/>
    <n v="97.84"/>
    <n v="57.05"/>
    <n v="28.78"/>
    <n v="87.28"/>
  </r>
  <r>
    <s v="2024-09-20"/>
    <x v="11"/>
    <x v="7"/>
    <s v="AVAX"/>
    <n v="680460074027.84998"/>
    <n v="30396.99"/>
    <n v="9403233734.4200001"/>
    <n v="4069105"/>
    <n v="4134922"/>
    <n v="4877981"/>
    <n v="22.72"/>
    <n v="3.5"/>
    <n v="13.83"/>
    <n v="22.57"/>
    <n v="133"/>
    <x v="2"/>
    <x v="3"/>
    <x v="3"/>
    <x v="12"/>
    <x v="1"/>
    <n v="51682"/>
    <n v="94.26"/>
    <n v="78.13"/>
    <n v="62.15"/>
    <n v="90.23"/>
  </r>
  <r>
    <s v="2024-11-01"/>
    <x v="3"/>
    <x v="1"/>
    <s v="BNB"/>
    <n v="793441177230.73999"/>
    <n v="898.9"/>
    <n v="43408197717.900002"/>
    <n v="11105693"/>
    <n v="14013821"/>
    <n v="14274300"/>
    <n v="47.78"/>
    <n v="0.32"/>
    <n v="1.99"/>
    <n v="17.670000000000002"/>
    <n v="102"/>
    <x v="0"/>
    <x v="0"/>
    <x v="1"/>
    <x v="13"/>
    <x v="1"/>
    <n v="22174"/>
    <n v="63.63"/>
    <n v="99.74"/>
    <n v="96.41"/>
    <n v="13.28"/>
  </r>
  <r>
    <s v="2024-07-19"/>
    <x v="0"/>
    <x v="6"/>
    <s v="DOGE"/>
    <n v="422389413495.23999"/>
    <n v="49662.12"/>
    <n v="32660068620.91"/>
    <n v="15778920"/>
    <n v="18378402"/>
    <n v="18623516"/>
    <n v="22.66"/>
    <n v="0.22"/>
    <n v="-2.37"/>
    <n v="12.2"/>
    <n v="193"/>
    <x v="1"/>
    <x v="3"/>
    <x v="3"/>
    <x v="8"/>
    <x v="0"/>
    <n v="51630"/>
    <n v="15.15"/>
    <n v="26.36"/>
    <n v="66.75"/>
    <n v="77.3"/>
  </r>
  <r>
    <s v="2024-05-21"/>
    <x v="6"/>
    <x v="1"/>
    <s v="BNB"/>
    <n v="115729802078.42"/>
    <n v="49006.99"/>
    <n v="23701548224.740002"/>
    <n v="7541045"/>
    <n v="11822996"/>
    <n v="12443921"/>
    <n v="54.58"/>
    <n v="3.86"/>
    <n v="12.07"/>
    <n v="24.64"/>
    <n v="195"/>
    <x v="2"/>
    <x v="0"/>
    <x v="4"/>
    <x v="9"/>
    <x v="1"/>
    <n v="48806"/>
    <n v="51.9"/>
    <n v="44.03"/>
    <n v="43.5"/>
    <n v="78.88"/>
  </r>
  <r>
    <s v="2024-11-19"/>
    <x v="3"/>
    <x v="4"/>
    <s v="DOT"/>
    <n v="504776419404.29999"/>
    <n v="7778.6"/>
    <n v="40183612682.959999"/>
    <n v="4173440"/>
    <n v="4609110"/>
    <n v="5093543"/>
    <n v="56.67"/>
    <n v="-4.6900000000000004"/>
    <n v="-17.04"/>
    <n v="-13.13"/>
    <n v="172"/>
    <x v="0"/>
    <x v="1"/>
    <x v="2"/>
    <x v="8"/>
    <x v="1"/>
    <n v="20139"/>
    <n v="30.57"/>
    <n v="67.819999999999993"/>
    <n v="72.430000000000007"/>
    <n v="37.04"/>
  </r>
  <r>
    <s v="2024-07-01"/>
    <x v="0"/>
    <x v="0"/>
    <s v="LTC"/>
    <n v="593531825531.82996"/>
    <n v="8778.09"/>
    <n v="3548434183.6599998"/>
    <n v="7735150"/>
    <n v="8794047"/>
    <n v="9724691"/>
    <n v="44.75"/>
    <n v="-0.21"/>
    <n v="13.82"/>
    <n v="37.35"/>
    <n v="107"/>
    <x v="1"/>
    <x v="2"/>
    <x v="2"/>
    <x v="11"/>
    <x v="0"/>
    <n v="11944"/>
    <n v="24.84"/>
    <n v="90.23"/>
    <n v="43.99"/>
    <n v="76.540000000000006"/>
  </r>
  <r>
    <s v="2024-07-01"/>
    <x v="0"/>
    <x v="2"/>
    <s v="ADA"/>
    <n v="465152975422.84003"/>
    <n v="6137.44"/>
    <n v="42556302002.559998"/>
    <n v="12141067"/>
    <n v="16068121"/>
    <n v="16272434"/>
    <n v="48.46"/>
    <n v="4.7300000000000004"/>
    <n v="11.81"/>
    <n v="-20.98"/>
    <n v="7"/>
    <x v="0"/>
    <x v="2"/>
    <x v="1"/>
    <x v="7"/>
    <x v="1"/>
    <n v="53195"/>
    <n v="10.28"/>
    <n v="42.27"/>
    <n v="48.22"/>
    <n v="44.06"/>
  </r>
  <r>
    <s v="2024-04-19"/>
    <x v="8"/>
    <x v="9"/>
    <s v="BTC"/>
    <n v="91501086863.089996"/>
    <n v="1006"/>
    <n v="41833591077.800003"/>
    <n v="17548140"/>
    <n v="20281099"/>
    <n v="20355097"/>
    <n v="33.159999999999997"/>
    <n v="-3.18"/>
    <n v="3.96"/>
    <n v="19.22"/>
    <n v="150"/>
    <x v="1"/>
    <x v="0"/>
    <x v="4"/>
    <x v="12"/>
    <x v="0"/>
    <n v="32719"/>
    <n v="40.520000000000003"/>
    <n v="65.17"/>
    <n v="23.6"/>
    <n v="78.48"/>
  </r>
  <r>
    <s v="2024-08-06"/>
    <x v="5"/>
    <x v="2"/>
    <s v="ADA"/>
    <n v="119217816621.72"/>
    <n v="58111.37"/>
    <n v="16245279767.92"/>
    <n v="2921196"/>
    <n v="5217171"/>
    <n v="5838043"/>
    <n v="32.56"/>
    <n v="2.66"/>
    <n v="-4.5999999999999996"/>
    <n v="-35.159999999999997"/>
    <n v="122"/>
    <x v="4"/>
    <x v="0"/>
    <x v="3"/>
    <x v="6"/>
    <x v="1"/>
    <n v="8951"/>
    <n v="97.58"/>
    <n v="48.07"/>
    <n v="89.19"/>
    <n v="38.130000000000003"/>
  </r>
  <r>
    <s v="2024-02-27"/>
    <x v="1"/>
    <x v="9"/>
    <s v="BTC"/>
    <n v="746488131174.53003"/>
    <n v="30511.11"/>
    <n v="1394642084.75"/>
    <n v="9484408"/>
    <n v="14305650"/>
    <n v="14694234"/>
    <n v="13.31"/>
    <n v="-0.67"/>
    <n v="18.25"/>
    <n v="19.79"/>
    <n v="142"/>
    <x v="4"/>
    <x v="0"/>
    <x v="2"/>
    <x v="5"/>
    <x v="0"/>
    <n v="6830"/>
    <n v="32.04"/>
    <n v="33.65"/>
    <n v="71.02"/>
    <n v="31.08"/>
  </r>
  <r>
    <s v="2024-08-08"/>
    <x v="5"/>
    <x v="4"/>
    <s v="DOT"/>
    <n v="75482775425.800003"/>
    <n v="2584.4"/>
    <n v="35618338580.089996"/>
    <n v="18627964"/>
    <n v="20824277"/>
    <n v="21097170"/>
    <n v="3.42"/>
    <n v="-2.21"/>
    <n v="-17.02"/>
    <n v="-6.94"/>
    <n v="137"/>
    <x v="0"/>
    <x v="1"/>
    <x v="3"/>
    <x v="13"/>
    <x v="1"/>
    <n v="23101"/>
    <n v="34.450000000000003"/>
    <n v="53.59"/>
    <n v="27.75"/>
    <n v="86.64"/>
  </r>
  <r>
    <s v="2024-04-07"/>
    <x v="8"/>
    <x v="8"/>
    <s v="ETH"/>
    <n v="891318810376.65002"/>
    <n v="12966.28"/>
    <n v="20315329761.029999"/>
    <n v="3191347"/>
    <n v="4160341"/>
    <n v="4609072"/>
    <n v="47.17"/>
    <n v="3.35"/>
    <n v="-17.78"/>
    <n v="-34.83"/>
    <n v="52"/>
    <x v="3"/>
    <x v="4"/>
    <x v="4"/>
    <x v="2"/>
    <x v="1"/>
    <n v="9265"/>
    <n v="83.78"/>
    <n v="67.92"/>
    <n v="37.909999999999997"/>
    <n v="64.02"/>
  </r>
  <r>
    <s v="2024-06-26"/>
    <x v="7"/>
    <x v="1"/>
    <s v="BNB"/>
    <n v="415813300240.48999"/>
    <n v="68762.28"/>
    <n v="5983985463.4799995"/>
    <n v="3063707"/>
    <n v="3252445"/>
    <n v="4143028"/>
    <n v="51.45"/>
    <n v="-0.18"/>
    <n v="1.66"/>
    <n v="33.130000000000003"/>
    <n v="120"/>
    <x v="2"/>
    <x v="2"/>
    <x v="4"/>
    <x v="0"/>
    <x v="1"/>
    <n v="53963"/>
    <n v="62.96"/>
    <n v="56.35"/>
    <n v="77.06"/>
    <n v="16.02"/>
  </r>
  <r>
    <s v="2024-03-23"/>
    <x v="9"/>
    <x v="6"/>
    <s v="DOGE"/>
    <n v="433430774335.65002"/>
    <n v="23629.88"/>
    <n v="15087088794.200001"/>
    <n v="16378602"/>
    <n v="20367298"/>
    <n v="20578678"/>
    <n v="24.22"/>
    <n v="-1.9"/>
    <n v="19.64"/>
    <n v="-3.51"/>
    <n v="10"/>
    <x v="2"/>
    <x v="0"/>
    <x v="0"/>
    <x v="4"/>
    <x v="0"/>
    <n v="56267"/>
    <n v="70.03"/>
    <n v="98.43"/>
    <n v="46.76"/>
    <n v="47.22"/>
  </r>
  <r>
    <s v="2024-10-01"/>
    <x v="10"/>
    <x v="9"/>
    <s v="BTC"/>
    <n v="235364891423.23999"/>
    <n v="14233.62"/>
    <n v="16530811040.23"/>
    <n v="12587593"/>
    <n v="17565083"/>
    <n v="18063266"/>
    <n v="22.52"/>
    <n v="-2.0099999999999998"/>
    <n v="14.89"/>
    <n v="37.479999999999997"/>
    <n v="79"/>
    <x v="4"/>
    <x v="2"/>
    <x v="1"/>
    <x v="1"/>
    <x v="0"/>
    <n v="46298"/>
    <n v="22.45"/>
    <n v="23.95"/>
    <n v="27.19"/>
    <n v="53.54"/>
  </r>
  <r>
    <s v="2024-10-31"/>
    <x v="10"/>
    <x v="0"/>
    <s v="LTC"/>
    <n v="496065249591.21002"/>
    <n v="63246.09"/>
    <n v="33953869710.110001"/>
    <n v="6778630"/>
    <n v="7413552"/>
    <n v="8386609"/>
    <n v="8.19"/>
    <n v="-2.59"/>
    <n v="-10.62"/>
    <n v="-2.57"/>
    <n v="198"/>
    <x v="1"/>
    <x v="3"/>
    <x v="4"/>
    <x v="1"/>
    <x v="0"/>
    <n v="21937"/>
    <n v="73.37"/>
    <n v="71.17"/>
    <n v="99.47"/>
    <n v="72.67"/>
  </r>
  <r>
    <s v="2024-01-11"/>
    <x v="2"/>
    <x v="7"/>
    <s v="AVAX"/>
    <n v="42508747932.480003"/>
    <n v="56226.13"/>
    <n v="21742583779.709999"/>
    <n v="5662581"/>
    <n v="7193686"/>
    <n v="7725361"/>
    <n v="25.16"/>
    <n v="2.4"/>
    <n v="4"/>
    <n v="24.97"/>
    <n v="56"/>
    <x v="4"/>
    <x v="0"/>
    <x v="0"/>
    <x v="10"/>
    <x v="1"/>
    <n v="18437"/>
    <n v="11.96"/>
    <n v="54.11"/>
    <n v="45.59"/>
    <n v="86.65"/>
  </r>
  <r>
    <s v="2024-07-25"/>
    <x v="0"/>
    <x v="0"/>
    <s v="LTC"/>
    <n v="549290701092.34998"/>
    <n v="61943.64"/>
    <n v="32512863162.59"/>
    <n v="13626001"/>
    <n v="14167238"/>
    <n v="14394842"/>
    <n v="53.62"/>
    <n v="-4.34"/>
    <n v="6.62"/>
    <n v="13.59"/>
    <n v="72"/>
    <x v="3"/>
    <x v="2"/>
    <x v="1"/>
    <x v="9"/>
    <x v="0"/>
    <n v="34662"/>
    <n v="17.809999999999999"/>
    <n v="45.47"/>
    <n v="44.84"/>
    <n v="24.06"/>
  </r>
  <r>
    <s v="2024-07-28"/>
    <x v="0"/>
    <x v="8"/>
    <s v="ETH"/>
    <n v="851273663946.77002"/>
    <n v="43824.49"/>
    <n v="45881480389.690002"/>
    <n v="7482299"/>
    <n v="10466081"/>
    <n v="10932144"/>
    <n v="3.17"/>
    <n v="4.1900000000000004"/>
    <n v="-3.93"/>
    <n v="-0.74"/>
    <n v="99"/>
    <x v="2"/>
    <x v="4"/>
    <x v="0"/>
    <x v="11"/>
    <x v="1"/>
    <n v="59706"/>
    <n v="60.61"/>
    <n v="57.43"/>
    <n v="38.39"/>
    <n v="55.51"/>
  </r>
  <r>
    <s v="2024-01-27"/>
    <x v="2"/>
    <x v="9"/>
    <s v="BTC"/>
    <n v="369004363114.21997"/>
    <n v="41117.03"/>
    <n v="20356694161.52"/>
    <n v="13454932"/>
    <n v="18120365"/>
    <n v="19111875"/>
    <n v="7.77"/>
    <n v="-4.1500000000000004"/>
    <n v="1.02"/>
    <n v="33"/>
    <n v="134"/>
    <x v="0"/>
    <x v="1"/>
    <x v="1"/>
    <x v="12"/>
    <x v="0"/>
    <n v="36844"/>
    <n v="87.24"/>
    <n v="43.9"/>
    <n v="54.09"/>
    <n v="90.75"/>
  </r>
  <r>
    <s v="2024-09-12"/>
    <x v="11"/>
    <x v="2"/>
    <s v="ADA"/>
    <n v="132293259754.16"/>
    <n v="48321.38"/>
    <n v="20851305664.25"/>
    <n v="13910628"/>
    <n v="14301417"/>
    <n v="14433984"/>
    <n v="5.69"/>
    <n v="0.09"/>
    <n v="-13.11"/>
    <n v="-23.11"/>
    <n v="80"/>
    <x v="3"/>
    <x v="2"/>
    <x v="2"/>
    <x v="6"/>
    <x v="1"/>
    <n v="25269"/>
    <n v="19.66"/>
    <n v="21.28"/>
    <n v="86.62"/>
    <n v="48.5"/>
  </r>
  <r>
    <s v="2024-01-12"/>
    <x v="2"/>
    <x v="0"/>
    <s v="LTC"/>
    <n v="134041938104.86"/>
    <n v="14879.11"/>
    <n v="47592739749.940002"/>
    <n v="7795573"/>
    <n v="10354556"/>
    <n v="10597354"/>
    <n v="50.65"/>
    <n v="-4.1399999999999997"/>
    <n v="8.1199999999999992"/>
    <n v="12.54"/>
    <n v="50"/>
    <x v="3"/>
    <x v="2"/>
    <x v="2"/>
    <x v="5"/>
    <x v="0"/>
    <n v="49431"/>
    <n v="33.56"/>
    <n v="88.29"/>
    <n v="59.62"/>
    <n v="31.17"/>
  </r>
  <r>
    <s v="2024-12-30"/>
    <x v="4"/>
    <x v="3"/>
    <s v="SOL"/>
    <n v="330833937994.28003"/>
    <n v="42442.75"/>
    <n v="42893327771.040001"/>
    <n v="4794954"/>
    <n v="8145605"/>
    <n v="9139595"/>
    <n v="15.7"/>
    <n v="0.42"/>
    <n v="14.67"/>
    <n v="-39.61"/>
    <n v="53"/>
    <x v="2"/>
    <x v="3"/>
    <x v="3"/>
    <x v="9"/>
    <x v="1"/>
    <n v="43468"/>
    <n v="32.92"/>
    <n v="73.28"/>
    <n v="22.04"/>
    <n v="79.010000000000005"/>
  </r>
  <r>
    <s v="2024-07-31"/>
    <x v="0"/>
    <x v="6"/>
    <s v="DOGE"/>
    <n v="808744585110.30005"/>
    <n v="9584.2900000000009"/>
    <n v="4824413959.46"/>
    <n v="6867897"/>
    <n v="8074843"/>
    <n v="8540395"/>
    <n v="7.99"/>
    <n v="0.12"/>
    <n v="5.69"/>
    <n v="-22.18"/>
    <n v="197"/>
    <x v="1"/>
    <x v="0"/>
    <x v="0"/>
    <x v="11"/>
    <x v="0"/>
    <n v="62635"/>
    <n v="32.42"/>
    <n v="82.43"/>
    <n v="18.66"/>
    <n v="32.549999999999997"/>
  </r>
  <r>
    <s v="2024-11-05"/>
    <x v="3"/>
    <x v="8"/>
    <s v="ETH"/>
    <n v="335048716124.58002"/>
    <n v="46258.98"/>
    <n v="41782372054.5"/>
    <n v="17500469"/>
    <n v="18519769"/>
    <n v="18758679"/>
    <n v="48.4"/>
    <n v="-2.59"/>
    <n v="-6.23"/>
    <n v="8.89"/>
    <n v="57"/>
    <x v="3"/>
    <x v="2"/>
    <x v="2"/>
    <x v="9"/>
    <x v="1"/>
    <n v="48304"/>
    <n v="63.65"/>
    <n v="27.7"/>
    <n v="70.73"/>
    <n v="62.01"/>
  </r>
  <r>
    <s v="2024-09-28"/>
    <x v="11"/>
    <x v="0"/>
    <s v="LTC"/>
    <n v="875800776447.73999"/>
    <n v="43227.07"/>
    <n v="2573127725.23"/>
    <n v="7544850"/>
    <n v="8140827"/>
    <n v="9029342"/>
    <n v="15.17"/>
    <n v="1.0900000000000001"/>
    <n v="16.489999999999998"/>
    <n v="3.14"/>
    <n v="69"/>
    <x v="2"/>
    <x v="2"/>
    <x v="3"/>
    <x v="8"/>
    <x v="0"/>
    <n v="27546"/>
    <n v="86.16"/>
    <n v="98.72"/>
    <n v="33.15"/>
    <n v="89.89"/>
  </r>
  <r>
    <s v="2024-01-19"/>
    <x v="2"/>
    <x v="0"/>
    <s v="LTC"/>
    <n v="363673255017.34998"/>
    <n v="16475.8"/>
    <n v="17527717354.939999"/>
    <n v="18273671"/>
    <n v="23263466"/>
    <n v="23452603"/>
    <n v="23.56"/>
    <n v="3.7"/>
    <n v="-4.26"/>
    <n v="-13.68"/>
    <n v="159"/>
    <x v="1"/>
    <x v="2"/>
    <x v="2"/>
    <x v="7"/>
    <x v="0"/>
    <n v="30237"/>
    <n v="10.55"/>
    <n v="22.38"/>
    <n v="60.88"/>
    <n v="40.46"/>
  </r>
  <r>
    <s v="2024-06-18"/>
    <x v="7"/>
    <x v="2"/>
    <s v="ADA"/>
    <n v="240836143131.34"/>
    <n v="53871.4"/>
    <n v="20795686176.189999"/>
    <n v="4349394"/>
    <n v="6120185"/>
    <n v="6987156"/>
    <n v="6.92"/>
    <n v="4.16"/>
    <n v="0.2"/>
    <n v="18.559999999999999"/>
    <n v="41"/>
    <x v="1"/>
    <x v="2"/>
    <x v="4"/>
    <x v="11"/>
    <x v="1"/>
    <n v="34541"/>
    <n v="22.32"/>
    <n v="44.78"/>
    <n v="36.19"/>
    <n v="95.3"/>
  </r>
  <r>
    <s v="2024-11-10"/>
    <x v="3"/>
    <x v="9"/>
    <s v="BTC"/>
    <n v="726964325089.98999"/>
    <n v="8807.48"/>
    <n v="4062798799.1900001"/>
    <n v="7713595"/>
    <n v="8027394"/>
    <n v="8119611"/>
    <n v="55.1"/>
    <n v="-2.68"/>
    <n v="17.98"/>
    <n v="5.95"/>
    <n v="172"/>
    <x v="0"/>
    <x v="3"/>
    <x v="1"/>
    <x v="1"/>
    <x v="0"/>
    <n v="21024"/>
    <n v="84.24"/>
    <n v="85.16"/>
    <n v="79.34"/>
    <n v="35.58"/>
  </r>
  <r>
    <s v="2024-07-11"/>
    <x v="0"/>
    <x v="5"/>
    <s v="XRP"/>
    <n v="572876534609.87"/>
    <n v="14921.23"/>
    <n v="27045759279.709999"/>
    <n v="3926682"/>
    <n v="8648834"/>
    <n v="9218280"/>
    <n v="53.67"/>
    <n v="3.45"/>
    <n v="-19.010000000000002"/>
    <n v="-16.350000000000001"/>
    <n v="129"/>
    <x v="1"/>
    <x v="1"/>
    <x v="3"/>
    <x v="7"/>
    <x v="2"/>
    <n v="46986"/>
    <n v="41.37"/>
    <n v="60.02"/>
    <n v="40.68"/>
    <n v="87.73"/>
  </r>
  <r>
    <s v="2024-07-22"/>
    <x v="0"/>
    <x v="9"/>
    <s v="BTC"/>
    <n v="161210332277.79999"/>
    <n v="63272.74"/>
    <n v="779376613.47000003"/>
    <n v="11469083"/>
    <n v="15579033"/>
    <n v="15846641"/>
    <n v="48.55"/>
    <n v="4.76"/>
    <n v="-4.6399999999999997"/>
    <n v="16.63"/>
    <n v="17"/>
    <x v="2"/>
    <x v="3"/>
    <x v="1"/>
    <x v="0"/>
    <x v="0"/>
    <n v="43609"/>
    <n v="35.94"/>
    <n v="54.12"/>
    <n v="68.290000000000006"/>
    <n v="67.03"/>
  </r>
  <r>
    <s v="2024-03-04"/>
    <x v="9"/>
    <x v="1"/>
    <s v="BNB"/>
    <n v="97220651860.860001"/>
    <n v="27970.74"/>
    <n v="1010252112.2"/>
    <n v="12725532"/>
    <n v="13761871"/>
    <n v="13961214"/>
    <n v="48.37"/>
    <n v="2.16"/>
    <n v="1.95"/>
    <n v="0.72"/>
    <n v="29"/>
    <x v="1"/>
    <x v="0"/>
    <x v="2"/>
    <x v="3"/>
    <x v="1"/>
    <n v="27088"/>
    <n v="45.72"/>
    <n v="32.33"/>
    <n v="55.14"/>
    <n v="84.08"/>
  </r>
  <r>
    <s v="2024-09-19"/>
    <x v="11"/>
    <x v="3"/>
    <s v="SOL"/>
    <n v="152718456942.10999"/>
    <n v="24224.85"/>
    <n v="5681529288.9399996"/>
    <n v="6171921"/>
    <n v="9031780"/>
    <n v="9456442"/>
    <n v="15.58"/>
    <n v="-3.77"/>
    <n v="7.81"/>
    <n v="20.65"/>
    <n v="32"/>
    <x v="1"/>
    <x v="2"/>
    <x v="3"/>
    <x v="0"/>
    <x v="1"/>
    <n v="64416"/>
    <n v="73.59"/>
    <n v="49.81"/>
    <n v="23.25"/>
    <n v="67.489999999999995"/>
  </r>
  <r>
    <s v="2024-12-23"/>
    <x v="4"/>
    <x v="6"/>
    <s v="DOGE"/>
    <n v="471035324812.02002"/>
    <n v="4528"/>
    <n v="21658071876.080002"/>
    <n v="13781462"/>
    <n v="15114960"/>
    <n v="16081765"/>
    <n v="0.12"/>
    <n v="3.61"/>
    <n v="8.36"/>
    <n v="-34.81"/>
    <n v="4"/>
    <x v="1"/>
    <x v="1"/>
    <x v="2"/>
    <x v="4"/>
    <x v="0"/>
    <n v="45559"/>
    <n v="54.11"/>
    <n v="40.25"/>
    <n v="17.239999999999998"/>
    <n v="82.39"/>
  </r>
  <r>
    <s v="2024-01-28"/>
    <x v="2"/>
    <x v="3"/>
    <s v="SOL"/>
    <n v="52864674687.949997"/>
    <n v="57960.62"/>
    <n v="23269249511.59"/>
    <n v="3974043"/>
    <n v="7598763"/>
    <n v="8447969"/>
    <n v="52.68"/>
    <n v="-4.13"/>
    <n v="-7.71"/>
    <n v="-30.98"/>
    <n v="38"/>
    <x v="3"/>
    <x v="1"/>
    <x v="4"/>
    <x v="1"/>
    <x v="1"/>
    <n v="16943"/>
    <n v="89.52"/>
    <n v="76.86"/>
    <n v="47.5"/>
    <n v="44.07"/>
  </r>
  <r>
    <s v="2024-01-29"/>
    <x v="2"/>
    <x v="0"/>
    <s v="LTC"/>
    <n v="364033912517.66998"/>
    <n v="57413.9"/>
    <n v="11057765383.370001"/>
    <n v="17175056"/>
    <n v="21843974"/>
    <n v="21948782"/>
    <n v="54.23"/>
    <n v="-0.28000000000000003"/>
    <n v="12.84"/>
    <n v="-17.260000000000002"/>
    <n v="107"/>
    <x v="4"/>
    <x v="1"/>
    <x v="3"/>
    <x v="8"/>
    <x v="0"/>
    <n v="5898"/>
    <n v="32.33"/>
    <n v="28.85"/>
    <n v="22.95"/>
    <n v="94.29"/>
  </r>
  <r>
    <s v="2024-01-26"/>
    <x v="2"/>
    <x v="0"/>
    <s v="LTC"/>
    <n v="604781894455.29004"/>
    <n v="19028.84"/>
    <n v="10301700359.389999"/>
    <n v="18354243"/>
    <n v="18740716"/>
    <n v="18841797"/>
    <n v="48.57"/>
    <n v="-2.4700000000000002"/>
    <n v="18.82"/>
    <n v="-34.4"/>
    <n v="89"/>
    <x v="4"/>
    <x v="0"/>
    <x v="0"/>
    <x v="10"/>
    <x v="0"/>
    <n v="446"/>
    <n v="76.08"/>
    <n v="76.89"/>
    <n v="97.09"/>
    <n v="43.12"/>
  </r>
  <r>
    <s v="2024-04-23"/>
    <x v="8"/>
    <x v="6"/>
    <s v="DOGE"/>
    <n v="792649380417.45996"/>
    <n v="47621.34"/>
    <n v="33885206353.09"/>
    <n v="6022030"/>
    <n v="7041340"/>
    <n v="7968966"/>
    <n v="26.38"/>
    <n v="4.71"/>
    <n v="4.0599999999999996"/>
    <n v="9.5500000000000007"/>
    <n v="77"/>
    <x v="1"/>
    <x v="4"/>
    <x v="0"/>
    <x v="11"/>
    <x v="0"/>
    <n v="16865"/>
    <n v="21.96"/>
    <n v="52.79"/>
    <n v="36.880000000000003"/>
    <n v="79.58"/>
  </r>
  <r>
    <s v="2024-07-17"/>
    <x v="0"/>
    <x v="1"/>
    <s v="BNB"/>
    <n v="757863989532.65002"/>
    <n v="38371.83"/>
    <n v="17181679523.23"/>
    <n v="16368872"/>
    <n v="19561884"/>
    <n v="19683832"/>
    <n v="43.5"/>
    <n v="-4.34"/>
    <n v="-14.96"/>
    <n v="28.34"/>
    <n v="83"/>
    <x v="1"/>
    <x v="1"/>
    <x v="0"/>
    <x v="8"/>
    <x v="1"/>
    <n v="46629"/>
    <n v="85.16"/>
    <n v="90.48"/>
    <n v="87.35"/>
    <n v="63.21"/>
  </r>
  <r>
    <s v="2024-06-13"/>
    <x v="7"/>
    <x v="4"/>
    <s v="DOT"/>
    <n v="499543738396.31"/>
    <n v="17998.29"/>
    <n v="2206164478.1599998"/>
    <n v="8190598"/>
    <n v="10809345"/>
    <n v="11150985"/>
    <n v="40.049999999999997"/>
    <n v="-1.17"/>
    <n v="-6.57"/>
    <n v="-28.49"/>
    <n v="191"/>
    <x v="1"/>
    <x v="2"/>
    <x v="3"/>
    <x v="1"/>
    <x v="1"/>
    <n v="33919"/>
    <n v="29.79"/>
    <n v="86.19"/>
    <n v="80.03"/>
    <n v="36.520000000000003"/>
  </r>
  <r>
    <s v="2024-11-03"/>
    <x v="3"/>
    <x v="1"/>
    <s v="BNB"/>
    <n v="3080099477.9299998"/>
    <n v="43784.99"/>
    <n v="22731956072.360001"/>
    <n v="16380158"/>
    <n v="19190472"/>
    <n v="19200948"/>
    <n v="55.8"/>
    <n v="-2.5499999999999998"/>
    <n v="12.63"/>
    <n v="-38.08"/>
    <n v="56"/>
    <x v="3"/>
    <x v="1"/>
    <x v="0"/>
    <x v="6"/>
    <x v="1"/>
    <n v="33753"/>
    <n v="14.19"/>
    <n v="76.040000000000006"/>
    <n v="51.29"/>
    <n v="49.64"/>
  </r>
  <r>
    <s v="2024-06-25"/>
    <x v="7"/>
    <x v="8"/>
    <s v="ETH"/>
    <n v="194253600864.76001"/>
    <n v="14755.2"/>
    <n v="17940748541.360001"/>
    <n v="8692878"/>
    <n v="11598262"/>
    <n v="11828252"/>
    <n v="48.06"/>
    <n v="3.31"/>
    <n v="4.49"/>
    <n v="16.95"/>
    <n v="5"/>
    <x v="1"/>
    <x v="4"/>
    <x v="1"/>
    <x v="11"/>
    <x v="1"/>
    <n v="15823"/>
    <n v="69"/>
    <n v="95.93"/>
    <n v="94.62"/>
    <n v="51.34"/>
  </r>
  <r>
    <s v="2024-07-20"/>
    <x v="0"/>
    <x v="7"/>
    <s v="AVAX"/>
    <n v="561530970944.59998"/>
    <n v="42089.91"/>
    <n v="33157120966.869999"/>
    <n v="15269411"/>
    <n v="16205933"/>
    <n v="16780467"/>
    <n v="13.22"/>
    <n v="3.74"/>
    <n v="-2.3199999999999998"/>
    <n v="4.87"/>
    <n v="113"/>
    <x v="3"/>
    <x v="4"/>
    <x v="0"/>
    <x v="1"/>
    <x v="1"/>
    <n v="62790"/>
    <n v="71.98"/>
    <n v="90.84"/>
    <n v="77.56"/>
    <n v="23.23"/>
  </r>
  <r>
    <s v="2024-12-06"/>
    <x v="4"/>
    <x v="7"/>
    <s v="AVAX"/>
    <n v="627514848984.32996"/>
    <n v="51801.45"/>
    <n v="36254239998.540001"/>
    <n v="10899075"/>
    <n v="13303184"/>
    <n v="13862641"/>
    <n v="18.010000000000002"/>
    <n v="0.55000000000000004"/>
    <n v="-9.8000000000000007"/>
    <n v="0.75"/>
    <n v="104"/>
    <x v="4"/>
    <x v="3"/>
    <x v="3"/>
    <x v="3"/>
    <x v="1"/>
    <n v="17859"/>
    <n v="65.53"/>
    <n v="61.17"/>
    <n v="38.93"/>
    <n v="99.57"/>
  </r>
  <r>
    <s v="2024-08-16"/>
    <x v="5"/>
    <x v="5"/>
    <s v="XRP"/>
    <n v="769314696483.89001"/>
    <n v="9978.67"/>
    <n v="408847297.27999997"/>
    <n v="1583743"/>
    <n v="3059007"/>
    <n v="3363865"/>
    <n v="54.64"/>
    <n v="2.1800000000000002"/>
    <n v="16.440000000000001"/>
    <n v="33.21"/>
    <n v="83"/>
    <x v="3"/>
    <x v="1"/>
    <x v="4"/>
    <x v="1"/>
    <x v="2"/>
    <n v="5914"/>
    <n v="82.97"/>
    <n v="61.39"/>
    <n v="30.75"/>
    <n v="16.75"/>
  </r>
  <r>
    <s v="2024-06-30"/>
    <x v="7"/>
    <x v="5"/>
    <s v="XRP"/>
    <n v="799862954397.82996"/>
    <n v="61018.44"/>
    <n v="38471166960.050003"/>
    <n v="8619836"/>
    <n v="11945894"/>
    <n v="12228998"/>
    <n v="17.84"/>
    <n v="-3.88"/>
    <n v="9.51"/>
    <n v="-37.08"/>
    <n v="187"/>
    <x v="3"/>
    <x v="1"/>
    <x v="3"/>
    <x v="13"/>
    <x v="2"/>
    <n v="34333"/>
    <n v="83.15"/>
    <n v="68.7"/>
    <n v="63.98"/>
    <n v="71.73"/>
  </r>
  <r>
    <s v="2024-04-04"/>
    <x v="8"/>
    <x v="8"/>
    <s v="ETH"/>
    <n v="742593182242.08997"/>
    <n v="60788.02"/>
    <n v="36677535209.629997"/>
    <n v="12200820"/>
    <n v="12707694"/>
    <n v="12818310"/>
    <n v="14.19"/>
    <n v="2.25"/>
    <n v="-12.29"/>
    <n v="0.21"/>
    <n v="196"/>
    <x v="2"/>
    <x v="0"/>
    <x v="1"/>
    <x v="9"/>
    <x v="1"/>
    <n v="41166"/>
    <n v="97.95"/>
    <n v="47.02"/>
    <n v="71.16"/>
    <n v="22.94"/>
  </r>
  <r>
    <s v="2024-01-17"/>
    <x v="2"/>
    <x v="1"/>
    <s v="BNB"/>
    <n v="729356749223.85999"/>
    <n v="32602.41"/>
    <n v="120898020.61"/>
    <n v="18345900"/>
    <n v="20714030"/>
    <n v="20816048"/>
    <n v="0.06"/>
    <n v="2.65"/>
    <n v="-2.19"/>
    <n v="32.51"/>
    <n v="110"/>
    <x v="3"/>
    <x v="3"/>
    <x v="1"/>
    <x v="6"/>
    <x v="1"/>
    <n v="25006"/>
    <n v="57.51"/>
    <n v="32.119999999999997"/>
    <n v="33.049999999999997"/>
    <n v="33.64"/>
  </r>
  <r>
    <s v="2024-01-08"/>
    <x v="2"/>
    <x v="7"/>
    <s v="AVAX"/>
    <n v="605411985432.29004"/>
    <n v="5786.51"/>
    <n v="40380019370.639999"/>
    <n v="7114982"/>
    <n v="9245908"/>
    <n v="9360035"/>
    <n v="17.850000000000001"/>
    <n v="-4.83"/>
    <n v="6.96"/>
    <n v="11.47"/>
    <n v="159"/>
    <x v="2"/>
    <x v="4"/>
    <x v="3"/>
    <x v="5"/>
    <x v="1"/>
    <n v="15088"/>
    <n v="19.7"/>
    <n v="99.26"/>
    <n v="90.3"/>
    <n v="90"/>
  </r>
  <r>
    <s v="2024-07-30"/>
    <x v="0"/>
    <x v="7"/>
    <s v="AVAX"/>
    <n v="786731595241.06006"/>
    <n v="61096.75"/>
    <n v="18539993459.900002"/>
    <n v="12333224"/>
    <n v="15596520"/>
    <n v="15740972"/>
    <n v="29.03"/>
    <n v="3.97"/>
    <n v="-5.78"/>
    <n v="24.81"/>
    <n v="180"/>
    <x v="0"/>
    <x v="1"/>
    <x v="1"/>
    <x v="9"/>
    <x v="1"/>
    <n v="6561"/>
    <n v="98.57"/>
    <n v="57.65"/>
    <n v="72.12"/>
    <n v="67.209999999999994"/>
  </r>
  <r>
    <s v="2024-02-18"/>
    <x v="1"/>
    <x v="0"/>
    <s v="LTC"/>
    <n v="491076458003.16998"/>
    <n v="63065.94"/>
    <n v="36791958772.349998"/>
    <n v="6129408"/>
    <n v="10730299"/>
    <n v="11478378"/>
    <n v="28.71"/>
    <n v="-4.62"/>
    <n v="6.83"/>
    <n v="25.15"/>
    <n v="196"/>
    <x v="3"/>
    <x v="1"/>
    <x v="2"/>
    <x v="10"/>
    <x v="0"/>
    <n v="55932"/>
    <n v="49.05"/>
    <n v="73.709999999999994"/>
    <n v="34.24"/>
    <n v="97.12"/>
  </r>
  <r>
    <s v="2024-02-18"/>
    <x v="1"/>
    <x v="8"/>
    <s v="ETH"/>
    <n v="384794811239.42999"/>
    <n v="33269.550000000003"/>
    <n v="43663682940.760002"/>
    <n v="11397069"/>
    <n v="13878215"/>
    <n v="14108001"/>
    <n v="12.29"/>
    <n v="3.43"/>
    <n v="7.16"/>
    <n v="24.99"/>
    <n v="186"/>
    <x v="0"/>
    <x v="4"/>
    <x v="0"/>
    <x v="9"/>
    <x v="1"/>
    <n v="57"/>
    <n v="84.65"/>
    <n v="41.66"/>
    <n v="35.67"/>
    <n v="70.72"/>
  </r>
  <r>
    <s v="2024-02-24"/>
    <x v="1"/>
    <x v="4"/>
    <s v="DOT"/>
    <n v="780924853012.09998"/>
    <n v="60899.16"/>
    <n v="32500611621.82"/>
    <n v="18068540"/>
    <n v="19467024"/>
    <n v="19859337"/>
    <n v="42.22"/>
    <n v="-0.48"/>
    <n v="18.79"/>
    <n v="31.44"/>
    <n v="3"/>
    <x v="1"/>
    <x v="4"/>
    <x v="4"/>
    <x v="12"/>
    <x v="1"/>
    <n v="4963"/>
    <n v="39.54"/>
    <n v="32.65"/>
    <n v="23.73"/>
    <n v="37.47"/>
  </r>
  <r>
    <s v="2024-10-21"/>
    <x v="10"/>
    <x v="6"/>
    <s v="DOGE"/>
    <n v="368230139761.70001"/>
    <n v="35652.03"/>
    <n v="46336012290.959999"/>
    <n v="14080853"/>
    <n v="17533183"/>
    <n v="17655524"/>
    <n v="8.5500000000000007"/>
    <n v="1.86"/>
    <n v="3.92"/>
    <n v="29.2"/>
    <n v="63"/>
    <x v="3"/>
    <x v="4"/>
    <x v="0"/>
    <x v="8"/>
    <x v="0"/>
    <n v="5758"/>
    <n v="52.22"/>
    <n v="50.73"/>
    <n v="44.68"/>
    <n v="89.87"/>
  </r>
  <r>
    <s v="2024-12-01"/>
    <x v="4"/>
    <x v="6"/>
    <s v="DOGE"/>
    <n v="406252449661.20001"/>
    <n v="22304.11"/>
    <n v="11621521372.75"/>
    <n v="17741982"/>
    <n v="21015512"/>
    <n v="21593540"/>
    <n v="32.090000000000003"/>
    <n v="0.82"/>
    <n v="-16.579999999999998"/>
    <n v="-26.73"/>
    <n v="119"/>
    <x v="4"/>
    <x v="1"/>
    <x v="0"/>
    <x v="6"/>
    <x v="0"/>
    <n v="52774"/>
    <n v="47.03"/>
    <n v="80.89"/>
    <n v="93.73"/>
    <n v="13.57"/>
  </r>
  <r>
    <s v="2024-06-27"/>
    <x v="7"/>
    <x v="0"/>
    <s v="LTC"/>
    <n v="154181048490"/>
    <n v="58356.59"/>
    <n v="21014865734.630001"/>
    <n v="15932913"/>
    <n v="19827088"/>
    <n v="20417399"/>
    <n v="39.43"/>
    <n v="2.2200000000000002"/>
    <n v="-11.82"/>
    <n v="-13.63"/>
    <n v="4"/>
    <x v="1"/>
    <x v="4"/>
    <x v="4"/>
    <x v="10"/>
    <x v="0"/>
    <n v="60055"/>
    <n v="61.59"/>
    <n v="70.55"/>
    <n v="82.86"/>
    <n v="91.82"/>
  </r>
  <r>
    <s v="2024-11-23"/>
    <x v="3"/>
    <x v="0"/>
    <s v="LTC"/>
    <n v="650068151632.97998"/>
    <n v="60690.12"/>
    <n v="28906787081.650002"/>
    <n v="18497459"/>
    <n v="21380895"/>
    <n v="21927029"/>
    <n v="30.33"/>
    <n v="-3.19"/>
    <n v="-4.03"/>
    <n v="21.45"/>
    <n v="112"/>
    <x v="1"/>
    <x v="0"/>
    <x v="2"/>
    <x v="1"/>
    <x v="0"/>
    <n v="44613"/>
    <n v="39.229999999999997"/>
    <n v="41.6"/>
    <n v="56.75"/>
    <n v="79.62"/>
  </r>
  <r>
    <s v="2024-01-14"/>
    <x v="2"/>
    <x v="3"/>
    <s v="SOL"/>
    <n v="476696272047.83002"/>
    <n v="7167.68"/>
    <n v="1858446204.9200001"/>
    <n v="12920260"/>
    <n v="13000446"/>
    <n v="13280588"/>
    <n v="50.14"/>
    <n v="0.54"/>
    <n v="-5.53"/>
    <n v="16.329999999999998"/>
    <n v="8"/>
    <x v="0"/>
    <x v="4"/>
    <x v="1"/>
    <x v="5"/>
    <x v="1"/>
    <n v="27234"/>
    <n v="80.400000000000006"/>
    <n v="78.97"/>
    <n v="52.29"/>
    <n v="40.03"/>
  </r>
  <r>
    <s v="2024-12-23"/>
    <x v="4"/>
    <x v="1"/>
    <s v="BNB"/>
    <n v="114964823359.37"/>
    <n v="14833.65"/>
    <n v="23689670166.25"/>
    <n v="13079003"/>
    <n v="18060665"/>
    <n v="18302419"/>
    <n v="30.89"/>
    <n v="0.84"/>
    <n v="6.61"/>
    <n v="-34.369999999999997"/>
    <n v="163"/>
    <x v="0"/>
    <x v="3"/>
    <x v="0"/>
    <x v="1"/>
    <x v="1"/>
    <n v="848"/>
    <n v="93.87"/>
    <n v="81.099999999999994"/>
    <n v="53.73"/>
    <n v="70.81"/>
  </r>
  <r>
    <s v="2024-09-10"/>
    <x v="11"/>
    <x v="3"/>
    <s v="SOL"/>
    <n v="496976771314.09998"/>
    <n v="23687.8"/>
    <n v="25593180880.240002"/>
    <n v="7667291"/>
    <n v="8751283"/>
    <n v="9081720"/>
    <n v="21.64"/>
    <n v="0.02"/>
    <n v="-14.87"/>
    <n v="32.9"/>
    <n v="107"/>
    <x v="2"/>
    <x v="3"/>
    <x v="3"/>
    <x v="8"/>
    <x v="1"/>
    <n v="49720"/>
    <n v="70.2"/>
    <n v="57.94"/>
    <n v="51.13"/>
    <n v="30.57"/>
  </r>
  <r>
    <s v="2024-04-05"/>
    <x v="8"/>
    <x v="2"/>
    <s v="ADA"/>
    <n v="87107230734.75"/>
    <n v="66922.16"/>
    <n v="35100451364.330002"/>
    <n v="5843924"/>
    <n v="9073068"/>
    <n v="9271632"/>
    <n v="27.46"/>
    <n v="-2.31"/>
    <n v="-11.06"/>
    <n v="29.2"/>
    <n v="39"/>
    <x v="2"/>
    <x v="3"/>
    <x v="3"/>
    <x v="0"/>
    <x v="1"/>
    <n v="35348"/>
    <n v="16.97"/>
    <n v="25.47"/>
    <n v="51.78"/>
    <n v="13.82"/>
  </r>
  <r>
    <s v="2024-05-17"/>
    <x v="6"/>
    <x v="2"/>
    <s v="ADA"/>
    <n v="835403363719.78003"/>
    <n v="39224.1"/>
    <n v="4392196772.5299997"/>
    <n v="7310731"/>
    <n v="10730195"/>
    <n v="11290213"/>
    <n v="49.09"/>
    <n v="-4.87"/>
    <n v="16.309999999999999"/>
    <n v="7.6"/>
    <n v="23"/>
    <x v="2"/>
    <x v="0"/>
    <x v="2"/>
    <x v="7"/>
    <x v="1"/>
    <n v="52702"/>
    <n v="43.77"/>
    <n v="51.35"/>
    <n v="42.01"/>
    <n v="68.95"/>
  </r>
  <r>
    <s v="2024-03-13"/>
    <x v="9"/>
    <x v="6"/>
    <s v="DOGE"/>
    <n v="671674684814.30005"/>
    <n v="43989.09"/>
    <n v="17823824117.84"/>
    <n v="9304335"/>
    <n v="11037590"/>
    <n v="11870873"/>
    <n v="37.53"/>
    <n v="-4.22"/>
    <n v="11.18"/>
    <n v="25.42"/>
    <n v="128"/>
    <x v="4"/>
    <x v="0"/>
    <x v="0"/>
    <x v="10"/>
    <x v="0"/>
    <n v="42598"/>
    <n v="83.47"/>
    <n v="81.62"/>
    <n v="90.22"/>
    <n v="11.25"/>
  </r>
  <r>
    <s v="2024-09-07"/>
    <x v="11"/>
    <x v="0"/>
    <s v="LTC"/>
    <n v="422449571829.87"/>
    <n v="27915.47"/>
    <n v="37395497204.860001"/>
    <n v="9896521"/>
    <n v="11460503"/>
    <n v="11484795"/>
    <n v="3.07"/>
    <n v="3.38"/>
    <n v="15.63"/>
    <n v="-37.06"/>
    <n v="126"/>
    <x v="2"/>
    <x v="2"/>
    <x v="4"/>
    <x v="5"/>
    <x v="0"/>
    <n v="19336"/>
    <n v="66.88"/>
    <n v="71.930000000000007"/>
    <n v="25.89"/>
    <n v="52.1"/>
  </r>
  <r>
    <s v="2024-05-29"/>
    <x v="6"/>
    <x v="2"/>
    <s v="ADA"/>
    <n v="679050164258.96997"/>
    <n v="26639.64"/>
    <n v="31407583016.98"/>
    <n v="12189167"/>
    <n v="12289037"/>
    <n v="12726828"/>
    <n v="1.61"/>
    <n v="4.93"/>
    <n v="-13.51"/>
    <n v="23.52"/>
    <n v="174"/>
    <x v="1"/>
    <x v="2"/>
    <x v="2"/>
    <x v="2"/>
    <x v="1"/>
    <n v="36885"/>
    <n v="86.62"/>
    <n v="80.37"/>
    <n v="68.41"/>
    <n v="80.319999999999993"/>
  </r>
  <r>
    <s v="2024-06-18"/>
    <x v="7"/>
    <x v="8"/>
    <s v="ETH"/>
    <n v="248104508405.13"/>
    <n v="7274.26"/>
    <n v="37317270530.440002"/>
    <n v="8933218"/>
    <n v="10040428"/>
    <n v="10549535"/>
    <n v="53.37"/>
    <n v="2.9"/>
    <n v="6.52"/>
    <n v="-17.239999999999998"/>
    <n v="189"/>
    <x v="1"/>
    <x v="1"/>
    <x v="1"/>
    <x v="8"/>
    <x v="1"/>
    <n v="52236"/>
    <n v="49.87"/>
    <n v="72.28"/>
    <n v="32.549999999999997"/>
    <n v="60.05"/>
  </r>
  <r>
    <s v="2024-05-16"/>
    <x v="6"/>
    <x v="6"/>
    <s v="DOGE"/>
    <n v="123919587609.66"/>
    <n v="59585.59"/>
    <n v="2911369251.4699998"/>
    <n v="9399160"/>
    <n v="10694585"/>
    <n v="11625543"/>
    <n v="56.07"/>
    <n v="-2.1"/>
    <n v="0.85"/>
    <n v="6.01"/>
    <n v="92"/>
    <x v="3"/>
    <x v="3"/>
    <x v="1"/>
    <x v="9"/>
    <x v="0"/>
    <n v="13057"/>
    <n v="17.14"/>
    <n v="64.12"/>
    <n v="59.89"/>
    <n v="47.12"/>
  </r>
  <r>
    <s v="2024-04-02"/>
    <x v="8"/>
    <x v="3"/>
    <s v="SOL"/>
    <n v="328547587737.89001"/>
    <n v="30560.47"/>
    <n v="49030044169.540001"/>
    <n v="9452707"/>
    <n v="11160445"/>
    <n v="11396878"/>
    <n v="50.22"/>
    <n v="-1.73"/>
    <n v="7.95"/>
    <n v="26.33"/>
    <n v="128"/>
    <x v="1"/>
    <x v="2"/>
    <x v="0"/>
    <x v="8"/>
    <x v="1"/>
    <n v="56181"/>
    <n v="62.63"/>
    <n v="55.69"/>
    <n v="18.309999999999999"/>
    <n v="42.35"/>
  </r>
  <r>
    <s v="2024-02-26"/>
    <x v="1"/>
    <x v="4"/>
    <s v="DOT"/>
    <n v="575700462259"/>
    <n v="48791.72"/>
    <n v="1180688130.47"/>
    <n v="15518922"/>
    <n v="16230515"/>
    <n v="16469018"/>
    <n v="24.36"/>
    <n v="-2.71"/>
    <n v="-19.079999999999998"/>
    <n v="-9.02"/>
    <n v="153"/>
    <x v="2"/>
    <x v="4"/>
    <x v="2"/>
    <x v="2"/>
    <x v="1"/>
    <n v="26353"/>
    <n v="34.08"/>
    <n v="44.55"/>
    <n v="56.11"/>
    <n v="47.14"/>
  </r>
  <r>
    <s v="2024-12-10"/>
    <x v="4"/>
    <x v="0"/>
    <s v="LTC"/>
    <n v="357734473252.21997"/>
    <n v="18218.099999999999"/>
    <n v="19655104292.139999"/>
    <n v="4445353"/>
    <n v="5637690"/>
    <n v="5758933"/>
    <n v="30.68"/>
    <n v="0.87"/>
    <n v="19.420000000000002"/>
    <n v="6.1"/>
    <n v="167"/>
    <x v="0"/>
    <x v="4"/>
    <x v="1"/>
    <x v="6"/>
    <x v="0"/>
    <n v="19629"/>
    <n v="29.75"/>
    <n v="94.62"/>
    <n v="83.79"/>
    <n v="67.31"/>
  </r>
  <r>
    <s v="2024-12-18"/>
    <x v="4"/>
    <x v="4"/>
    <s v="DOT"/>
    <n v="240500716499.57001"/>
    <n v="16993.599999999999"/>
    <n v="39702960232.699997"/>
    <n v="17586171"/>
    <n v="18783188"/>
    <n v="19722630"/>
    <n v="51.95"/>
    <n v="-3.37"/>
    <n v="-7.24"/>
    <n v="-24.66"/>
    <n v="22"/>
    <x v="1"/>
    <x v="2"/>
    <x v="4"/>
    <x v="1"/>
    <x v="1"/>
    <n v="2417"/>
    <n v="97.27"/>
    <n v="26.02"/>
    <n v="62.28"/>
    <n v="41.62"/>
  </r>
  <r>
    <s v="2024-08-03"/>
    <x v="5"/>
    <x v="8"/>
    <s v="ETH"/>
    <n v="757827327905.18005"/>
    <n v="20055.060000000001"/>
    <n v="2229464083"/>
    <n v="6799770"/>
    <n v="8411887"/>
    <n v="9401812"/>
    <n v="14.56"/>
    <n v="1.71"/>
    <n v="-19.91"/>
    <n v="21.07"/>
    <n v="105"/>
    <x v="3"/>
    <x v="2"/>
    <x v="4"/>
    <x v="12"/>
    <x v="1"/>
    <n v="3322"/>
    <n v="89.26"/>
    <n v="53.79"/>
    <n v="92.84"/>
    <n v="63.92"/>
  </r>
  <r>
    <s v="2024-08-07"/>
    <x v="5"/>
    <x v="5"/>
    <s v="XRP"/>
    <n v="36345727376.779999"/>
    <n v="12664.24"/>
    <n v="23553727436.43"/>
    <n v="5687734"/>
    <n v="10482511"/>
    <n v="10767952"/>
    <n v="39.43"/>
    <n v="-0.57999999999999996"/>
    <n v="-3.12"/>
    <n v="29.42"/>
    <n v="164"/>
    <x v="1"/>
    <x v="0"/>
    <x v="4"/>
    <x v="8"/>
    <x v="2"/>
    <n v="11921"/>
    <n v="32.619999999999997"/>
    <n v="60"/>
    <n v="46.12"/>
    <n v="13.5"/>
  </r>
  <r>
    <s v="2024-12-09"/>
    <x v="4"/>
    <x v="7"/>
    <s v="AVAX"/>
    <n v="652888152198.46997"/>
    <n v="49122.12"/>
    <n v="49896157658.519997"/>
    <n v="9315474"/>
    <n v="10799900"/>
    <n v="11397219"/>
    <n v="50.1"/>
    <n v="0.5"/>
    <n v="-6.03"/>
    <n v="26.12"/>
    <n v="106"/>
    <x v="2"/>
    <x v="2"/>
    <x v="0"/>
    <x v="1"/>
    <x v="1"/>
    <n v="19788"/>
    <n v="39.229999999999997"/>
    <n v="24.29"/>
    <n v="19.48"/>
    <n v="34.700000000000003"/>
  </r>
  <r>
    <s v="2024-02-19"/>
    <x v="1"/>
    <x v="6"/>
    <s v="DOGE"/>
    <n v="368996399629.21997"/>
    <n v="17543.009999999998"/>
    <n v="9345807331.9099998"/>
    <n v="8969697"/>
    <n v="12392994"/>
    <n v="12781472"/>
    <n v="51.58"/>
    <n v="-3.27"/>
    <n v="7.75"/>
    <n v="24.02"/>
    <n v="125"/>
    <x v="0"/>
    <x v="3"/>
    <x v="4"/>
    <x v="4"/>
    <x v="0"/>
    <n v="23659"/>
    <n v="86.63"/>
    <n v="21.29"/>
    <n v="96.58"/>
    <n v="14.15"/>
  </r>
  <r>
    <s v="2024-01-20"/>
    <x v="2"/>
    <x v="9"/>
    <s v="BTC"/>
    <n v="467649079570.01001"/>
    <n v="13689.23"/>
    <n v="32888203432.080002"/>
    <n v="1048755"/>
    <n v="2395948"/>
    <n v="3230790"/>
    <n v="18.809999999999999"/>
    <n v="-4.4000000000000004"/>
    <n v="-7.64"/>
    <n v="18.059999999999999"/>
    <n v="85"/>
    <x v="1"/>
    <x v="3"/>
    <x v="3"/>
    <x v="11"/>
    <x v="0"/>
    <n v="27357"/>
    <n v="31.39"/>
    <n v="47.84"/>
    <n v="88.34"/>
    <n v="72.8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1F75993-4605-4E78-A94B-780E629F8BF7}"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G3:H16" firstHeaderRow="1" firstDataRow="1" firstDataCol="1"/>
  <pivotFields count="25">
    <pivotField showAll="0"/>
    <pivotField axis="axisRow" showAll="0" sortType="ascending">
      <items count="13">
        <item x="2"/>
        <item x="1"/>
        <item x="9"/>
        <item x="8"/>
        <item x="6"/>
        <item x="7"/>
        <item x="0"/>
        <item x="5"/>
        <item x="11"/>
        <item x="10"/>
        <item x="3"/>
        <item x="4"/>
        <item t="default"/>
      </items>
    </pivotField>
    <pivotField showAll="0">
      <items count="11">
        <item x="7"/>
        <item x="1"/>
        <item x="9"/>
        <item x="2"/>
        <item x="6"/>
        <item x="8"/>
        <item x="0"/>
        <item x="4"/>
        <item x="5"/>
        <item x="3"/>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 showAll="0">
      <items count="6">
        <item x="2"/>
        <item x="4"/>
        <item x="3"/>
        <item x="1"/>
        <item x="0"/>
        <item t="default"/>
      </items>
    </pivotField>
    <pivotField showAll="0">
      <items count="6">
        <item x="1"/>
        <item x="4"/>
        <item x="3"/>
        <item x="0"/>
        <item x="2"/>
        <item t="default"/>
      </items>
    </pivotField>
    <pivotField showAll="0">
      <items count="6">
        <item x="0"/>
        <item x="3"/>
        <item x="2"/>
        <item x="1"/>
        <item x="4"/>
        <item t="default"/>
      </items>
    </pivotField>
    <pivotField showAll="0">
      <items count="15">
        <item x="11"/>
        <item x="4"/>
        <item x="5"/>
        <item x="8"/>
        <item x="0"/>
        <item x="6"/>
        <item x="1"/>
        <item x="7"/>
        <item x="3"/>
        <item x="13"/>
        <item x="12"/>
        <item x="2"/>
        <item x="10"/>
        <item x="9"/>
        <item t="default"/>
      </items>
    </pivotField>
    <pivotField showAll="0"/>
    <pivotField showAll="0"/>
    <pivotField showAll="0"/>
    <pivotField showAll="0"/>
    <pivotField showAll="0"/>
    <pivotField showAll="0"/>
  </pivotFields>
  <rowFields count="1">
    <field x="1"/>
  </rowFields>
  <rowItems count="13">
    <i>
      <x/>
    </i>
    <i>
      <x v="1"/>
    </i>
    <i>
      <x v="2"/>
    </i>
    <i>
      <x v="3"/>
    </i>
    <i>
      <x v="4"/>
    </i>
    <i>
      <x v="5"/>
    </i>
    <i>
      <x v="6"/>
    </i>
    <i>
      <x v="7"/>
    </i>
    <i>
      <x v="8"/>
    </i>
    <i>
      <x v="9"/>
    </i>
    <i>
      <x v="10"/>
    </i>
    <i>
      <x v="11"/>
    </i>
    <i t="grand">
      <x/>
    </i>
  </rowItems>
  <colItems count="1">
    <i/>
  </colItems>
  <dataFields count="1">
    <dataField name="Sum of Price_USD" fld="5" baseField="0" baseItem="0"/>
  </dataFields>
  <chartFormats count="1">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F30F900-1EC6-4893-84CC-86F4ED9DBA6B}"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17:B28" firstHeaderRow="1" firstDataRow="1" firstDataCol="1"/>
  <pivotFields count="25">
    <pivotField showAll="0"/>
    <pivotField showAll="0"/>
    <pivotField axis="axisRow" showAll="0">
      <items count="11">
        <item x="7"/>
        <item x="1"/>
        <item x="9"/>
        <item x="2"/>
        <item x="6"/>
        <item x="8"/>
        <item x="0"/>
        <item x="4"/>
        <item x="5"/>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2"/>
        <item x="4"/>
        <item x="3"/>
        <item x="1"/>
        <item x="0"/>
        <item t="default"/>
      </items>
    </pivotField>
    <pivotField showAll="0">
      <items count="6">
        <item x="1"/>
        <item x="4"/>
        <item x="3"/>
        <item x="0"/>
        <item x="2"/>
        <item t="default"/>
      </items>
    </pivotField>
    <pivotField showAll="0">
      <items count="6">
        <item x="0"/>
        <item x="3"/>
        <item x="2"/>
        <item x="1"/>
        <item x="4"/>
        <item t="default"/>
      </items>
    </pivotField>
    <pivotField showAll="0">
      <items count="15">
        <item x="11"/>
        <item x="4"/>
        <item x="5"/>
        <item x="8"/>
        <item x="0"/>
        <item x="6"/>
        <item x="1"/>
        <item x="7"/>
        <item x="3"/>
        <item x="13"/>
        <item x="12"/>
        <item x="2"/>
        <item x="10"/>
        <item x="9"/>
        <item t="default"/>
      </items>
    </pivotField>
    <pivotField showAll="0"/>
    <pivotField showAll="0"/>
    <pivotField showAll="0"/>
    <pivotField showAll="0"/>
    <pivotField dataField="1" showAll="0"/>
    <pivotField showAll="0"/>
  </pivotFields>
  <rowFields count="1">
    <field x="2"/>
  </rowFields>
  <rowItems count="11">
    <i>
      <x/>
    </i>
    <i>
      <x v="1"/>
    </i>
    <i>
      <x v="2"/>
    </i>
    <i>
      <x v="3"/>
    </i>
    <i>
      <x v="4"/>
    </i>
    <i>
      <x v="5"/>
    </i>
    <i>
      <x v="6"/>
    </i>
    <i>
      <x v="7"/>
    </i>
    <i>
      <x v="8"/>
    </i>
    <i>
      <x v="9"/>
    </i>
    <i t="grand">
      <x/>
    </i>
  </rowItems>
  <colItems count="1">
    <i/>
  </colItems>
  <dataFields count="1">
    <dataField name="Sum of Developer_Activity" fld="23" baseField="0" baseItem="0"/>
  </dataFields>
  <chartFormats count="1">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98CE867-8673-46C5-94A2-CE92C34B47EF}"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D16:E20" firstHeaderRow="1" firstDataRow="1" firstDataCol="1"/>
  <pivotFields count="25">
    <pivotField showAll="0"/>
    <pivotField showAll="0"/>
    <pivotField showAll="0">
      <items count="11">
        <item x="7"/>
        <item x="1"/>
        <item x="9"/>
        <item x="2"/>
        <item x="6"/>
        <item x="8"/>
        <item x="0"/>
        <item x="4"/>
        <item x="5"/>
        <item x="3"/>
        <item t="default"/>
      </items>
    </pivotField>
    <pivotField showAll="0"/>
    <pivotField dataField="1" showAll="0"/>
    <pivotField showAll="0"/>
    <pivotField showAll="0"/>
    <pivotField showAll="0"/>
    <pivotField showAll="0"/>
    <pivotField showAll="0"/>
    <pivotField showAll="0"/>
    <pivotField showAll="0"/>
    <pivotField showAll="0"/>
    <pivotField showAll="0"/>
    <pivotField showAll="0"/>
    <pivotField showAll="0">
      <items count="6">
        <item x="2"/>
        <item x="4"/>
        <item x="3"/>
        <item x="1"/>
        <item x="0"/>
        <item t="default"/>
      </items>
    </pivotField>
    <pivotField showAll="0">
      <items count="6">
        <item x="1"/>
        <item x="4"/>
        <item x="3"/>
        <item x="0"/>
        <item x="2"/>
        <item t="default"/>
      </items>
    </pivotField>
    <pivotField showAll="0">
      <items count="6">
        <item x="0"/>
        <item x="3"/>
        <item x="2"/>
        <item x="1"/>
        <item x="4"/>
        <item t="default"/>
      </items>
    </pivotField>
    <pivotField showAll="0">
      <items count="15">
        <item x="11"/>
        <item x="4"/>
        <item x="5"/>
        <item x="8"/>
        <item x="0"/>
        <item x="6"/>
        <item x="1"/>
        <item x="7"/>
        <item x="3"/>
        <item x="13"/>
        <item x="12"/>
        <item x="2"/>
        <item x="10"/>
        <item x="9"/>
        <item t="default"/>
      </items>
    </pivotField>
    <pivotField axis="axisRow" showAll="0">
      <items count="4">
        <item x="2"/>
        <item x="1"/>
        <item x="0"/>
        <item t="default"/>
      </items>
    </pivotField>
    <pivotField showAll="0"/>
    <pivotField showAll="0"/>
    <pivotField showAll="0"/>
    <pivotField showAll="0"/>
    <pivotField showAll="0"/>
  </pivotFields>
  <rowFields count="1">
    <field x="19"/>
  </rowFields>
  <rowItems count="4">
    <i>
      <x/>
    </i>
    <i>
      <x v="1"/>
    </i>
    <i>
      <x v="2"/>
    </i>
    <i t="grand">
      <x/>
    </i>
  </rowItems>
  <colItems count="1">
    <i/>
  </colItems>
  <dataFields count="1">
    <dataField name="Sum of Market_Cap_USD" fld="4" baseField="0" baseItem="0"/>
  </dataFields>
  <chartFormats count="1">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AF6FEA1-29B3-4083-B784-9F9BD8800104}"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J3:K14" firstHeaderRow="1" firstDataRow="1" firstDataCol="1"/>
  <pivotFields count="25">
    <pivotField showAll="0"/>
    <pivotField showAll="0"/>
    <pivotField axis="axisRow" showAll="0">
      <items count="11">
        <item x="7"/>
        <item x="1"/>
        <item x="9"/>
        <item x="2"/>
        <item x="6"/>
        <item x="8"/>
        <item x="0"/>
        <item x="4"/>
        <item x="5"/>
        <item x="3"/>
        <item t="default"/>
      </items>
    </pivotField>
    <pivotField showAll="0"/>
    <pivotField showAll="0"/>
    <pivotField showAll="0"/>
    <pivotField dataField="1" showAll="0"/>
    <pivotField showAll="0"/>
    <pivotField showAll="0"/>
    <pivotField showAll="0"/>
    <pivotField showAll="0"/>
    <pivotField showAll="0"/>
    <pivotField showAll="0"/>
    <pivotField showAll="0"/>
    <pivotField showAll="0"/>
    <pivotField showAll="0">
      <items count="6">
        <item x="2"/>
        <item x="4"/>
        <item x="3"/>
        <item x="1"/>
        <item x="0"/>
        <item t="default"/>
      </items>
    </pivotField>
    <pivotField showAll="0">
      <items count="6">
        <item x="1"/>
        <item x="4"/>
        <item x="3"/>
        <item x="0"/>
        <item x="2"/>
        <item t="default"/>
      </items>
    </pivotField>
    <pivotField showAll="0">
      <items count="6">
        <item x="0"/>
        <item x="3"/>
        <item x="2"/>
        <item x="1"/>
        <item x="4"/>
        <item t="default"/>
      </items>
    </pivotField>
    <pivotField showAll="0">
      <items count="15">
        <item x="11"/>
        <item x="4"/>
        <item x="5"/>
        <item x="8"/>
        <item x="0"/>
        <item x="6"/>
        <item x="1"/>
        <item x="7"/>
        <item x="3"/>
        <item x="13"/>
        <item x="12"/>
        <item x="2"/>
        <item x="10"/>
        <item x="9"/>
        <item t="default"/>
      </items>
    </pivotField>
    <pivotField showAll="0"/>
    <pivotField showAll="0"/>
    <pivotField showAll="0"/>
    <pivotField showAll="0"/>
    <pivotField showAll="0"/>
    <pivotField showAll="0"/>
  </pivotFields>
  <rowFields count="1">
    <field x="2"/>
  </rowFields>
  <rowItems count="11">
    <i>
      <x/>
    </i>
    <i>
      <x v="1"/>
    </i>
    <i>
      <x v="2"/>
    </i>
    <i>
      <x v="3"/>
    </i>
    <i>
      <x v="4"/>
    </i>
    <i>
      <x v="5"/>
    </i>
    <i>
      <x v="6"/>
    </i>
    <i>
      <x v="7"/>
    </i>
    <i>
      <x v="8"/>
    </i>
    <i>
      <x v="9"/>
    </i>
    <i t="grand">
      <x/>
    </i>
  </rowItems>
  <colItems count="1">
    <i/>
  </colItems>
  <dataFields count="1">
    <dataField name="Sum of Volume_24h_USD" fld="6" baseField="0" baseItem="0"/>
  </dataFields>
  <chartFormats count="1">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E8C30A6-F9EE-4C0A-B946-5A020E8B38B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2">
  <location ref="A3:B14" firstHeaderRow="1" firstDataRow="1" firstDataCol="1"/>
  <pivotFields count="25">
    <pivotField showAll="0"/>
    <pivotField showAll="0"/>
    <pivotField axis="axisRow" showAll="0" sortType="descending">
      <items count="11">
        <item x="7"/>
        <item x="1"/>
        <item x="9"/>
        <item x="2"/>
        <item x="6"/>
        <item x="8"/>
        <item x="0"/>
        <item x="4"/>
        <item x="5"/>
        <item x="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pivotField showAll="0"/>
    <pivotField showAll="0"/>
    <pivotField showAll="0"/>
    <pivotField showAll="0"/>
    <pivotField showAll="0"/>
    <pivotField showAll="0"/>
    <pivotField showAll="0">
      <items count="6">
        <item x="2"/>
        <item x="4"/>
        <item x="3"/>
        <item x="1"/>
        <item x="0"/>
        <item t="default"/>
      </items>
    </pivotField>
    <pivotField showAll="0">
      <items count="6">
        <item x="1"/>
        <item x="4"/>
        <item x="3"/>
        <item x="0"/>
        <item x="2"/>
        <item t="default"/>
      </items>
    </pivotField>
    <pivotField showAll="0">
      <items count="6">
        <item x="0"/>
        <item x="3"/>
        <item x="2"/>
        <item x="1"/>
        <item x="4"/>
        <item t="default"/>
      </items>
    </pivotField>
    <pivotField showAll="0">
      <items count="15">
        <item x="11"/>
        <item x="4"/>
        <item x="5"/>
        <item x="8"/>
        <item x="0"/>
        <item x="6"/>
        <item x="1"/>
        <item x="7"/>
        <item x="3"/>
        <item x="13"/>
        <item x="12"/>
        <item x="2"/>
        <item x="10"/>
        <item x="9"/>
        <item t="default"/>
      </items>
    </pivotField>
    <pivotField showAll="0"/>
    <pivotField showAll="0"/>
    <pivotField showAll="0"/>
    <pivotField showAll="0"/>
    <pivotField showAll="0"/>
    <pivotField showAll="0"/>
  </pivotFields>
  <rowFields count="1">
    <field x="2"/>
  </rowFields>
  <rowItems count="11">
    <i>
      <x/>
    </i>
    <i>
      <x v="8"/>
    </i>
    <i>
      <x v="3"/>
    </i>
    <i>
      <x v="6"/>
    </i>
    <i>
      <x v="1"/>
    </i>
    <i>
      <x v="4"/>
    </i>
    <i>
      <x v="9"/>
    </i>
    <i>
      <x v="7"/>
    </i>
    <i>
      <x v="5"/>
    </i>
    <i>
      <x v="2"/>
    </i>
    <i t="grand">
      <x/>
    </i>
  </rowItems>
  <colItems count="1">
    <i/>
  </colItems>
  <dataFields count="1">
    <dataField name="Sum of Market_Cap_USD" fld="4" baseField="0" baseItem="0"/>
  </dataFields>
  <chartFormats count="1">
    <chartFormat chart="2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DC006E1-0A4A-4628-ADF8-7169319643E9}"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D3:E9" firstHeaderRow="1" firstDataRow="1" firstDataCol="1"/>
  <pivotFields count="25">
    <pivotField showAll="0"/>
    <pivotField showAll="0"/>
    <pivotField showAll="0">
      <items count="11">
        <item x="7"/>
        <item x="1"/>
        <item x="9"/>
        <item x="2"/>
        <item x="6"/>
        <item x="8"/>
        <item x="0"/>
        <item x="4"/>
        <item x="5"/>
        <item x="3"/>
        <item t="default"/>
      </items>
    </pivotField>
    <pivotField showAll="0"/>
    <pivotField dataField="1" showAll="0"/>
    <pivotField showAll="0"/>
    <pivotField showAll="0"/>
    <pivotField showAll="0"/>
    <pivotField showAll="0"/>
    <pivotField showAll="0"/>
    <pivotField showAll="0"/>
    <pivotField showAll="0"/>
    <pivotField showAll="0"/>
    <pivotField showAll="0"/>
    <pivotField showAll="0"/>
    <pivotField axis="axisRow" showAll="0" sortType="descending">
      <items count="6">
        <item x="2"/>
        <item x="4"/>
        <item x="3"/>
        <item x="1"/>
        <item x="0"/>
        <item t="default"/>
      </items>
      <autoSortScope>
        <pivotArea dataOnly="0" outline="0" fieldPosition="0">
          <references count="1">
            <reference field="4294967294" count="1" selected="0">
              <x v="0"/>
            </reference>
          </references>
        </pivotArea>
      </autoSortScope>
    </pivotField>
    <pivotField showAll="0">
      <items count="6">
        <item x="1"/>
        <item x="4"/>
        <item x="3"/>
        <item x="0"/>
        <item x="2"/>
        <item t="default"/>
      </items>
    </pivotField>
    <pivotField showAll="0">
      <items count="6">
        <item x="0"/>
        <item x="3"/>
        <item x="2"/>
        <item x="1"/>
        <item x="4"/>
        <item t="default"/>
      </items>
    </pivotField>
    <pivotField showAll="0">
      <items count="15">
        <item x="11"/>
        <item x="4"/>
        <item x="5"/>
        <item x="8"/>
        <item x="0"/>
        <item x="6"/>
        <item x="1"/>
        <item x="7"/>
        <item x="3"/>
        <item x="13"/>
        <item x="12"/>
        <item x="2"/>
        <item x="10"/>
        <item x="9"/>
        <item t="default"/>
      </items>
    </pivotField>
    <pivotField showAll="0"/>
    <pivotField showAll="0"/>
    <pivotField showAll="0"/>
    <pivotField showAll="0"/>
    <pivotField showAll="0"/>
    <pivotField showAll="0"/>
  </pivotFields>
  <rowFields count="1">
    <field x="15"/>
  </rowFields>
  <rowItems count="6">
    <i>
      <x v="2"/>
    </i>
    <i>
      <x/>
    </i>
    <i>
      <x v="3"/>
    </i>
    <i>
      <x v="1"/>
    </i>
    <i>
      <x v="4"/>
    </i>
    <i t="grand">
      <x/>
    </i>
  </rowItems>
  <colItems count="1">
    <i/>
  </colItems>
  <dataFields count="1">
    <dataField name="Sum of Market_Cap_USD" fld="4" baseField="0" baseItem="0"/>
  </dataFields>
  <chartFormats count="6">
    <chartFormat chart="9" format="12" series="1">
      <pivotArea type="data" outline="0" fieldPosition="0">
        <references count="1">
          <reference field="4294967294" count="1" selected="0">
            <x v="0"/>
          </reference>
        </references>
      </pivotArea>
    </chartFormat>
    <chartFormat chart="9" format="13">
      <pivotArea type="data" outline="0" fieldPosition="0">
        <references count="2">
          <reference field="4294967294" count="1" selected="0">
            <x v="0"/>
          </reference>
          <reference field="15" count="1" selected="0">
            <x v="0"/>
          </reference>
        </references>
      </pivotArea>
    </chartFormat>
    <chartFormat chart="9" format="14">
      <pivotArea type="data" outline="0" fieldPosition="0">
        <references count="2">
          <reference field="4294967294" count="1" selected="0">
            <x v="0"/>
          </reference>
          <reference field="15" count="1" selected="0">
            <x v="1"/>
          </reference>
        </references>
      </pivotArea>
    </chartFormat>
    <chartFormat chart="9" format="15">
      <pivotArea type="data" outline="0" fieldPosition="0">
        <references count="2">
          <reference field="4294967294" count="1" selected="0">
            <x v="0"/>
          </reference>
          <reference field="15" count="1" selected="0">
            <x v="2"/>
          </reference>
        </references>
      </pivotArea>
    </chartFormat>
    <chartFormat chart="9" format="16">
      <pivotArea type="data" outline="0" fieldPosition="0">
        <references count="2">
          <reference field="4294967294" count="1" selected="0">
            <x v="0"/>
          </reference>
          <reference field="15" count="1" selected="0">
            <x v="3"/>
          </reference>
        </references>
      </pivotArea>
    </chartFormat>
    <chartFormat chart="9" format="17">
      <pivotArea type="data" outline="0" fieldPosition="0">
        <references count="2">
          <reference field="4294967294" count="1" selected="0">
            <x v="0"/>
          </reference>
          <reference field="1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rypto_Name" xr10:uid="{77A45DFC-ECA3-4E99-BE71-2A022404FFF3}" sourceName="Crypto_Name">
  <pivotTables>
    <pivotTable tabId="3" name="PivotTable6"/>
    <pivotTable tabId="3" name="PivotTable1"/>
    <pivotTable tabId="3" name="PivotTable2"/>
    <pivotTable tabId="3" name="PivotTable3"/>
    <pivotTable tabId="3" name="PivotTable4"/>
    <pivotTable tabId="3" name="PivotTable5"/>
  </pivotTables>
  <data>
    <tabular pivotCacheId="1458318463">
      <items count="10">
        <i x="7" s="1"/>
        <i x="1" s="1"/>
        <i x="9" s="1"/>
        <i x="2" s="1"/>
        <i x="6" s="1"/>
        <i x="8" s="1"/>
        <i x="0" s="1"/>
        <i x="4" s="1"/>
        <i x="5"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7D3E13AD-AD4F-4992-B0E7-63A300759087}" sourceName="Category">
  <pivotTables>
    <pivotTable tabId="3" name="PivotTable6"/>
    <pivotTable tabId="3" name="PivotTable1"/>
    <pivotTable tabId="3" name="PivotTable2"/>
    <pivotTable tabId="3" name="PivotTable3"/>
    <pivotTable tabId="3" name="PivotTable4"/>
    <pivotTable tabId="3" name="PivotTable5"/>
  </pivotTables>
  <data>
    <tabular pivotCacheId="1458318463">
      <items count="5">
        <i x="2" s="1"/>
        <i x="4" s="1"/>
        <i x="3"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xchange" xr10:uid="{03DF246A-1600-4BC5-A347-F753F08343D7}" sourceName="Exchange">
  <pivotTables>
    <pivotTable tabId="3" name="PivotTable6"/>
    <pivotTable tabId="3" name="PivotTable1"/>
    <pivotTable tabId="3" name="PivotTable2"/>
    <pivotTable tabId="3" name="PivotTable3"/>
    <pivotTable tabId="3" name="PivotTable4"/>
    <pivotTable tabId="3" name="PivotTable5"/>
  </pivotTables>
  <data>
    <tabular pivotCacheId="1458318463">
      <items count="5">
        <i x="1" s="1"/>
        <i x="4" s="1"/>
        <i x="3" s="1"/>
        <i x="0"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2B2B4793-4D3D-4FA2-9C4E-2C36A192C803}" sourceName="Country">
  <pivotTables>
    <pivotTable tabId="3" name="PivotTable6"/>
    <pivotTable tabId="3" name="PivotTable1"/>
    <pivotTable tabId="3" name="PivotTable2"/>
    <pivotTable tabId="3" name="PivotTable3"/>
    <pivotTable tabId="3" name="PivotTable4"/>
    <pivotTable tabId="3" name="PivotTable5"/>
  </pivotTables>
  <data>
    <tabular pivotCacheId="1458318463">
      <items count="5">
        <i x="0" s="1"/>
        <i x="3" s="1"/>
        <i x="2" s="1"/>
        <i x="1" s="1"/>
        <i x="4"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aunch_Year" xr10:uid="{65DBC09B-1243-4B27-B852-A7B9058E33F5}" sourceName="Launch_Year">
  <pivotTables>
    <pivotTable tabId="3" name="PivotTable6"/>
    <pivotTable tabId="3" name="PivotTable1"/>
    <pivotTable tabId="3" name="PivotTable2"/>
    <pivotTable tabId="3" name="PivotTable3"/>
    <pivotTable tabId="3" name="PivotTable4"/>
    <pivotTable tabId="3" name="PivotTable5"/>
  </pivotTables>
  <data>
    <tabular pivotCacheId="1458318463">
      <items count="14">
        <i x="11" s="1"/>
        <i x="4" s="1"/>
        <i x="5" s="1"/>
        <i x="8" s="1"/>
        <i x="0" s="1"/>
        <i x="6" s="1"/>
        <i x="1" s="1"/>
        <i x="7" s="1"/>
        <i x="3" s="1"/>
        <i x="13" s="1"/>
        <i x="12" s="1"/>
        <i x="2" s="1"/>
        <i x="10" s="1"/>
        <i x="9"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rypto_Name" xr10:uid="{5D7FF685-92DE-4226-80C3-EF2931DE3CEB}" cache="Slicer_Crypto_Name" caption="Crypto_Name" style="SlicerStyleDark1" rowHeight="234950"/>
  <slicer name="Category" xr10:uid="{147D68D2-8FE3-47D1-8755-1BC76D50506F}" cache="Slicer_Category" caption="Category" style="SlicerStyleDark1" rowHeight="234950"/>
  <slicer name="Exchange" xr10:uid="{7F68E6E2-7269-4ADC-91A6-AA103935877E}" cache="Slicer_Exchange" caption="Exchange" style="SlicerStyleDark1" rowHeight="234950"/>
  <slicer name="Country" xr10:uid="{8A6015D6-29C7-42DF-9246-3CE26668E5FD}" cache="Slicer_Country" caption="Country" style="SlicerStyleDark2" rowHeight="234950"/>
  <slicer name="Launch_Year" xr10:uid="{150F9514-5DFC-434F-8454-3766103A5DDA}" cache="Slicer_Launch_Year" caption="Launch_Year" style="SlicerStyleDark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42D2A77-1AF2-4344-A134-6AA64F3F8CAD}" name="Crypto_Data" displayName="Crypto_Data" ref="A1:Y1001" totalsRowShown="0">
  <autoFilter ref="A1:Y1001" xr:uid="{B42D2A77-1AF2-4344-A134-6AA64F3F8CAD}"/>
  <tableColumns count="25">
    <tableColumn id="1" xr3:uid="{C9E0163A-DC4E-4291-AC3D-B5D1EEC88593}" name="Date"/>
    <tableColumn id="25" xr3:uid="{E5035A8C-0AD5-4229-90CB-4BA311EE003A}" name="Month" dataDxfId="0">
      <calculatedColumnFormula>TEXT(A2,"MMM")</calculatedColumnFormula>
    </tableColumn>
    <tableColumn id="2" xr3:uid="{8FA05E2F-9EF2-4F44-947F-6C3D95090BCF}" name="Crypto_Name"/>
    <tableColumn id="3" xr3:uid="{D69B0751-4400-4FC0-9CAF-269064CB7C05}" name="Symbol"/>
    <tableColumn id="4" xr3:uid="{BDF1E3AD-6676-4B89-A8B9-348040C7BF06}" name="Market_Cap_USD"/>
    <tableColumn id="5" xr3:uid="{0E66DC7B-3B95-4DF9-8D54-09714EAC7329}" name="Price_USD"/>
    <tableColumn id="6" xr3:uid="{B9F8D115-D157-4CF4-B753-54D8642CF75C}" name="Volume_24h_USD"/>
    <tableColumn id="7" xr3:uid="{46AE220B-BE79-4AF2-AF7C-B0A7124B2D20}" name="Circulating_Supply"/>
    <tableColumn id="8" xr3:uid="{30926AFB-841F-40FB-82D9-7FC80212BA0A}" name="Total_Supply"/>
    <tableColumn id="9" xr3:uid="{44F91D06-FC11-4BAD-91BB-BE60C62318FA}" name="Max_Supply"/>
    <tableColumn id="10" xr3:uid="{AC77EB1F-5776-4B02-BE21-FBDEB0B51B46}" name="Market_Dominance_%"/>
    <tableColumn id="11" xr3:uid="{BFFF2D36-43E0-4D60-B7B2-3613F5F52F17}" name="Change_1h_%"/>
    <tableColumn id="12" xr3:uid="{3E110967-9E5E-4643-9533-8905D045C21C}" name="Change_24h_%"/>
    <tableColumn id="13" xr3:uid="{ECC45062-6460-4C93-BFCA-0F69842B06F5}" name="Change_7d_%"/>
    <tableColumn id="14" xr3:uid="{0175F1CA-FA6F-4061-BA5E-A2BB56580C42}" name="Rank"/>
    <tableColumn id="15" xr3:uid="{3A9C4F91-E923-4664-8357-99243256F11C}" name="Category"/>
    <tableColumn id="16" xr3:uid="{7896CB08-7A6B-4306-96B6-26D5B0917020}" name="Exchange"/>
    <tableColumn id="17" xr3:uid="{B4ABE42A-78E7-4A2C-A9CB-28129E156BE5}" name="Country"/>
    <tableColumn id="18" xr3:uid="{7A824026-8378-49C2-AE56-B14D86D1BDC8}" name="Launch_Year"/>
    <tableColumn id="19" xr3:uid="{8EB05DC5-A05F-4D8F-B08D-FBA0C7E11278}" name="Mining_Type"/>
    <tableColumn id="20" xr3:uid="{E3EFB850-9EE3-42D8-972B-9D3CB2E4202A}" name="Transaction_Speed_TPS"/>
    <tableColumn id="21" xr3:uid="{A98D3EB4-29BA-4237-9E3C-5361067A5985}" name="Energy_Usage_Index"/>
    <tableColumn id="22" xr3:uid="{BF0EABEE-6435-4CA2-A078-D1FF980F9BAC}" name="Adoption_Score"/>
    <tableColumn id="23" xr3:uid="{E6083F97-2BD5-4B96-9741-E4DC19F480EB}" name="Developer_Activity"/>
    <tableColumn id="24" xr3:uid="{1FE7D788-5D2E-4A09-AAE3-52C5C0BEC343}" name="Community_Score"/>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F025BA-C2A5-409A-83A6-F55C5BE18779}">
  <dimension ref="A2:L28"/>
  <sheetViews>
    <sheetView workbookViewId="0">
      <selection activeCell="K11" sqref="K11"/>
    </sheetView>
  </sheetViews>
  <sheetFormatPr defaultRowHeight="14.4" x14ac:dyDescent="0.3"/>
  <cols>
    <col min="1" max="1" width="12.5546875" bestFit="1" customWidth="1"/>
    <col min="2" max="2" width="22.6640625" bestFit="1" customWidth="1"/>
    <col min="3" max="3" width="23.6640625" bestFit="1" customWidth="1"/>
    <col min="4" max="4" width="12.5546875" bestFit="1" customWidth="1"/>
    <col min="5" max="5" width="22.6640625" bestFit="1" customWidth="1"/>
    <col min="7" max="7" width="12.5546875" bestFit="1" customWidth="1"/>
    <col min="8" max="8" width="16.21875" bestFit="1" customWidth="1"/>
    <col min="10" max="10" width="12.5546875" bestFit="1" customWidth="1"/>
    <col min="11" max="12" width="23" bestFit="1" customWidth="1"/>
  </cols>
  <sheetData>
    <row r="2" spans="1:12" x14ac:dyDescent="0.3">
      <c r="A2" s="12" t="s">
        <v>441</v>
      </c>
      <c r="B2" s="12"/>
      <c r="D2" s="12" t="s">
        <v>442</v>
      </c>
      <c r="E2" s="12"/>
      <c r="G2" s="12" t="s">
        <v>422</v>
      </c>
      <c r="H2" s="12"/>
      <c r="J2" s="12" t="s">
        <v>423</v>
      </c>
      <c r="K2" s="12"/>
      <c r="L2" s="12"/>
    </row>
    <row r="3" spans="1:12" x14ac:dyDescent="0.3">
      <c r="A3" s="1" t="s">
        <v>417</v>
      </c>
      <c r="B3" t="s">
        <v>419</v>
      </c>
      <c r="D3" s="1" t="s">
        <v>417</v>
      </c>
      <c r="E3" t="s">
        <v>419</v>
      </c>
      <c r="G3" s="1" t="s">
        <v>417</v>
      </c>
      <c r="H3" t="s">
        <v>420</v>
      </c>
      <c r="J3" s="1" t="s">
        <v>417</v>
      </c>
      <c r="K3" t="s">
        <v>421</v>
      </c>
    </row>
    <row r="4" spans="1:12" x14ac:dyDescent="0.3">
      <c r="A4" s="2" t="s">
        <v>68</v>
      </c>
      <c r="B4" s="13">
        <v>53630745281090.047</v>
      </c>
      <c r="D4" s="2" t="s">
        <v>51</v>
      </c>
      <c r="E4" s="13">
        <v>98782173960697.797</v>
      </c>
      <c r="G4" s="2" t="s">
        <v>428</v>
      </c>
      <c r="H4" s="13">
        <v>3674206.9899999993</v>
      </c>
      <c r="J4" s="2" t="s">
        <v>68</v>
      </c>
      <c r="K4" s="13">
        <v>2914295179231.1997</v>
      </c>
    </row>
    <row r="5" spans="1:12" x14ac:dyDescent="0.3">
      <c r="A5" s="2" t="s">
        <v>55</v>
      </c>
      <c r="B5" s="13">
        <v>49635047518652.781</v>
      </c>
      <c r="D5" s="2" t="s">
        <v>46</v>
      </c>
      <c r="E5" s="13">
        <v>95570022233159.563</v>
      </c>
      <c r="G5" s="2" t="s">
        <v>429</v>
      </c>
      <c r="H5" s="13">
        <v>3154029.3899999983</v>
      </c>
      <c r="J5" s="2" t="s">
        <v>32</v>
      </c>
      <c r="K5" s="13">
        <v>2351340599858.3403</v>
      </c>
    </row>
    <row r="6" spans="1:12" x14ac:dyDescent="0.3">
      <c r="A6" s="2" t="s">
        <v>38</v>
      </c>
      <c r="B6" s="13">
        <v>47736232011028.242</v>
      </c>
      <c r="D6" s="2" t="s">
        <v>40</v>
      </c>
      <c r="E6" s="13">
        <v>92506102558620.344</v>
      </c>
      <c r="G6" s="2" t="s">
        <v>430</v>
      </c>
      <c r="H6" s="13">
        <v>2960789.4199999995</v>
      </c>
      <c r="J6" s="2" t="s">
        <v>90</v>
      </c>
      <c r="K6" s="13">
        <v>2024390023810.7097</v>
      </c>
    </row>
    <row r="7" spans="1:12" x14ac:dyDescent="0.3">
      <c r="A7" s="2" t="s">
        <v>25</v>
      </c>
      <c r="B7" s="13">
        <v>46777055414121.539</v>
      </c>
      <c r="D7" s="2" t="s">
        <v>53</v>
      </c>
      <c r="E7" s="13">
        <v>80483955888895.531</v>
      </c>
      <c r="G7" s="2" t="s">
        <v>431</v>
      </c>
      <c r="H7" s="13">
        <v>2920165.45</v>
      </c>
      <c r="J7" s="2" t="s">
        <v>38</v>
      </c>
      <c r="K7" s="13">
        <v>2525602988322.9902</v>
      </c>
    </row>
    <row r="8" spans="1:12" x14ac:dyDescent="0.3">
      <c r="A8" s="2" t="s">
        <v>32</v>
      </c>
      <c r="B8" s="13">
        <v>44197551462040.648</v>
      </c>
      <c r="D8" s="2" t="s">
        <v>27</v>
      </c>
      <c r="E8" s="13">
        <v>76929334166798.922</v>
      </c>
      <c r="G8" s="2" t="s">
        <v>432</v>
      </c>
      <c r="H8" s="13">
        <v>2926156.0799999987</v>
      </c>
      <c r="J8" s="2" t="s">
        <v>60</v>
      </c>
      <c r="K8" s="13">
        <v>2411184444620.541</v>
      </c>
    </row>
    <row r="9" spans="1:12" x14ac:dyDescent="0.3">
      <c r="A9" s="2" t="s">
        <v>60</v>
      </c>
      <c r="B9" s="13">
        <v>42618723030246.406</v>
      </c>
      <c r="D9" s="2" t="s">
        <v>418</v>
      </c>
      <c r="E9" s="13">
        <v>444271588808172.19</v>
      </c>
      <c r="G9" s="2" t="s">
        <v>433</v>
      </c>
      <c r="H9" s="13">
        <v>3484557.03</v>
      </c>
      <c r="J9" s="2" t="s">
        <v>78</v>
      </c>
      <c r="K9" s="13">
        <v>2215651731016.749</v>
      </c>
    </row>
    <row r="10" spans="1:12" x14ac:dyDescent="0.3">
      <c r="A10" s="2" t="s">
        <v>44</v>
      </c>
      <c r="B10" s="13">
        <v>42282393799721.398</v>
      </c>
      <c r="G10" s="2" t="s">
        <v>434</v>
      </c>
      <c r="H10" s="13">
        <v>3011290.5999999992</v>
      </c>
      <c r="J10" s="2" t="s">
        <v>25</v>
      </c>
      <c r="K10" s="13">
        <v>2874822875075.1304</v>
      </c>
    </row>
    <row r="11" spans="1:12" x14ac:dyDescent="0.3">
      <c r="A11" s="2" t="s">
        <v>49</v>
      </c>
      <c r="B11" s="13">
        <v>40768507094902.086</v>
      </c>
      <c r="G11" s="2" t="s">
        <v>435</v>
      </c>
      <c r="H11" s="13">
        <v>2717528.44</v>
      </c>
      <c r="J11" s="2" t="s">
        <v>49</v>
      </c>
      <c r="K11" s="13">
        <v>2388833599290.4204</v>
      </c>
    </row>
    <row r="12" spans="1:12" x14ac:dyDescent="0.3">
      <c r="A12" s="2" t="s">
        <v>78</v>
      </c>
      <c r="B12" s="13">
        <v>38584925947531.695</v>
      </c>
      <c r="G12" s="2" t="s">
        <v>436</v>
      </c>
      <c r="H12" s="13">
        <v>2387934.71</v>
      </c>
      <c r="J12" s="2" t="s">
        <v>55</v>
      </c>
      <c r="K12" s="13">
        <v>2755863000949.8091</v>
      </c>
    </row>
    <row r="13" spans="1:12" x14ac:dyDescent="0.3">
      <c r="A13" s="2" t="s">
        <v>90</v>
      </c>
      <c r="B13" s="13">
        <v>38040407248837.461</v>
      </c>
      <c r="G13" s="2" t="s">
        <v>437</v>
      </c>
      <c r="H13" s="13">
        <v>3084211.77</v>
      </c>
      <c r="J13" s="2" t="s">
        <v>44</v>
      </c>
      <c r="K13" s="13">
        <v>2200807981992.771</v>
      </c>
    </row>
    <row r="14" spans="1:12" x14ac:dyDescent="0.3">
      <c r="A14" s="2" t="s">
        <v>418</v>
      </c>
      <c r="B14" s="13">
        <v>444271588808172.25</v>
      </c>
      <c r="G14" s="2" t="s">
        <v>438</v>
      </c>
      <c r="H14" s="13">
        <v>2685941.149999999</v>
      </c>
      <c r="J14" s="2" t="s">
        <v>418</v>
      </c>
      <c r="K14" s="13">
        <v>24662792424168.66</v>
      </c>
    </row>
    <row r="15" spans="1:12" x14ac:dyDescent="0.3">
      <c r="D15" s="12" t="s">
        <v>424</v>
      </c>
      <c r="E15" s="12"/>
      <c r="G15" s="2" t="s">
        <v>439</v>
      </c>
      <c r="H15" s="13">
        <v>2611970.5000000009</v>
      </c>
    </row>
    <row r="16" spans="1:12" x14ac:dyDescent="0.3">
      <c r="A16" s="12" t="s">
        <v>425</v>
      </c>
      <c r="B16" s="12"/>
      <c r="D16" s="1" t="s">
        <v>417</v>
      </c>
      <c r="E16" t="s">
        <v>419</v>
      </c>
      <c r="G16" s="2" t="s">
        <v>418</v>
      </c>
      <c r="H16" s="13">
        <v>35618781.529999994</v>
      </c>
    </row>
    <row r="17" spans="1:5" x14ac:dyDescent="0.3">
      <c r="A17" s="1" t="s">
        <v>417</v>
      </c>
      <c r="B17" t="s">
        <v>426</v>
      </c>
      <c r="D17" s="2" t="s">
        <v>58</v>
      </c>
      <c r="E17" s="13">
        <v>49635047518652.781</v>
      </c>
    </row>
    <row r="18" spans="1:5" x14ac:dyDescent="0.3">
      <c r="A18" s="2" t="s">
        <v>68</v>
      </c>
      <c r="B18" s="13">
        <v>6612.94</v>
      </c>
      <c r="D18" s="2" t="s">
        <v>36</v>
      </c>
      <c r="E18" s="13">
        <v>267200355596314.22</v>
      </c>
    </row>
    <row r="19" spans="1:5" x14ac:dyDescent="0.3">
      <c r="A19" s="2" t="s">
        <v>32</v>
      </c>
      <c r="B19" s="13">
        <v>5705.6100000000015</v>
      </c>
      <c r="D19" s="2" t="s">
        <v>30</v>
      </c>
      <c r="E19" s="13">
        <v>127436185693205.34</v>
      </c>
    </row>
    <row r="20" spans="1:5" x14ac:dyDescent="0.3">
      <c r="A20" s="2" t="s">
        <v>90</v>
      </c>
      <c r="B20" s="13">
        <v>4926.09</v>
      </c>
      <c r="D20" s="2" t="s">
        <v>418</v>
      </c>
      <c r="E20" s="13">
        <v>444271588808172.38</v>
      </c>
    </row>
    <row r="21" spans="1:5" x14ac:dyDescent="0.3">
      <c r="A21" s="2" t="s">
        <v>38</v>
      </c>
      <c r="B21" s="13">
        <v>5898.9300000000012</v>
      </c>
    </row>
    <row r="22" spans="1:5" x14ac:dyDescent="0.3">
      <c r="A22" s="2" t="s">
        <v>60</v>
      </c>
      <c r="B22" s="13">
        <v>5450.1299999999992</v>
      </c>
    </row>
    <row r="23" spans="1:5" x14ac:dyDescent="0.3">
      <c r="A23" s="2" t="s">
        <v>78</v>
      </c>
      <c r="B23" s="13">
        <v>5209.46</v>
      </c>
    </row>
    <row r="24" spans="1:5" x14ac:dyDescent="0.3">
      <c r="A24" s="2" t="s">
        <v>25</v>
      </c>
      <c r="B24" s="13">
        <v>6447.0000000000009</v>
      </c>
    </row>
    <row r="25" spans="1:5" x14ac:dyDescent="0.3">
      <c r="A25" s="2" t="s">
        <v>49</v>
      </c>
      <c r="B25" s="13">
        <v>4750.0899999999983</v>
      </c>
    </row>
    <row r="26" spans="1:5" x14ac:dyDescent="0.3">
      <c r="A26" s="2" t="s">
        <v>55</v>
      </c>
      <c r="B26" s="13">
        <v>5564.0200000000013</v>
      </c>
    </row>
    <row r="27" spans="1:5" x14ac:dyDescent="0.3">
      <c r="A27" s="2" t="s">
        <v>44</v>
      </c>
      <c r="B27" s="13">
        <v>4668.2300000000005</v>
      </c>
    </row>
    <row r="28" spans="1:5" x14ac:dyDescent="0.3">
      <c r="A28" s="2" t="s">
        <v>418</v>
      </c>
      <c r="B28" s="13">
        <v>55232.5</v>
      </c>
    </row>
  </sheetData>
  <mergeCells count="6">
    <mergeCell ref="A16:B16"/>
    <mergeCell ref="A2:B2"/>
    <mergeCell ref="D2:E2"/>
    <mergeCell ref="G2:H2"/>
    <mergeCell ref="J2:L2"/>
    <mergeCell ref="D15:E15"/>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D6AF64-1D64-4E83-9A17-625481027832}">
  <dimension ref="A1:W5"/>
  <sheetViews>
    <sheetView tabSelected="1" zoomScale="105" workbookViewId="0">
      <selection sqref="A1:W2"/>
    </sheetView>
  </sheetViews>
  <sheetFormatPr defaultRowHeight="14.4" x14ac:dyDescent="0.3"/>
  <sheetData>
    <row r="1" spans="1:23" x14ac:dyDescent="0.3">
      <c r="A1" s="4" t="s">
        <v>440</v>
      </c>
      <c r="B1" s="5"/>
      <c r="C1" s="5"/>
      <c r="D1" s="5"/>
      <c r="E1" s="5"/>
      <c r="F1" s="5"/>
      <c r="G1" s="5"/>
      <c r="H1" s="5"/>
      <c r="I1" s="5"/>
      <c r="J1" s="5"/>
      <c r="K1" s="5"/>
      <c r="L1" s="5"/>
      <c r="M1" s="5"/>
      <c r="N1" s="5"/>
      <c r="O1" s="5"/>
      <c r="P1" s="5"/>
      <c r="Q1" s="5"/>
      <c r="R1" s="5"/>
      <c r="S1" s="5"/>
      <c r="T1" s="5"/>
      <c r="U1" s="5"/>
      <c r="V1" s="5"/>
      <c r="W1" s="5"/>
    </row>
    <row r="2" spans="1:23" x14ac:dyDescent="0.3">
      <c r="A2" s="5"/>
      <c r="B2" s="5"/>
      <c r="C2" s="5"/>
      <c r="D2" s="5"/>
      <c r="E2" s="5"/>
      <c r="F2" s="5"/>
      <c r="G2" s="5"/>
      <c r="H2" s="5"/>
      <c r="I2" s="5"/>
      <c r="J2" s="5"/>
      <c r="K2" s="5"/>
      <c r="L2" s="5"/>
      <c r="M2" s="5"/>
      <c r="N2" s="5"/>
      <c r="O2" s="5"/>
      <c r="P2" s="5"/>
      <c r="Q2" s="5"/>
      <c r="R2" s="5"/>
      <c r="S2" s="5"/>
      <c r="T2" s="5"/>
      <c r="U2" s="5"/>
      <c r="V2" s="5"/>
      <c r="W2" s="5"/>
    </row>
    <row r="3" spans="1:23" x14ac:dyDescent="0.3">
      <c r="A3" s="6" t="s">
        <v>414</v>
      </c>
      <c r="B3" s="6"/>
      <c r="C3" s="6"/>
      <c r="D3" s="8" t="s">
        <v>415</v>
      </c>
      <c r="E3" s="8"/>
      <c r="F3" s="8"/>
      <c r="G3" s="10" t="s">
        <v>416</v>
      </c>
      <c r="H3" s="10"/>
      <c r="I3" s="10"/>
    </row>
    <row r="4" spans="1:23" x14ac:dyDescent="0.3">
      <c r="A4" s="7">
        <f>SUM(Data!E:E)</f>
        <v>444271588808172.81</v>
      </c>
      <c r="B4" s="7"/>
      <c r="C4" s="7"/>
      <c r="D4" s="9">
        <f>SUM(Data!G:G)</f>
        <v>24662792424168.668</v>
      </c>
      <c r="E4" s="9"/>
      <c r="F4" s="9"/>
      <c r="G4" s="11">
        <f>AVERAGE(Data!M:M)</f>
        <v>-0.23447000000000021</v>
      </c>
      <c r="H4" s="11"/>
      <c r="I4" s="11"/>
    </row>
    <row r="5" spans="1:23" x14ac:dyDescent="0.3">
      <c r="A5" s="3"/>
      <c r="B5" s="3"/>
      <c r="C5" s="3"/>
    </row>
  </sheetData>
  <mergeCells count="7">
    <mergeCell ref="A1:W2"/>
    <mergeCell ref="A3:C3"/>
    <mergeCell ref="A4:C4"/>
    <mergeCell ref="D3:F3"/>
    <mergeCell ref="D4:F4"/>
    <mergeCell ref="G3:I3"/>
    <mergeCell ref="G4:I4"/>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1001"/>
  <sheetViews>
    <sheetView topLeftCell="I1" workbookViewId="0">
      <selection activeCell="A2" sqref="A2"/>
    </sheetView>
  </sheetViews>
  <sheetFormatPr defaultRowHeight="14.4" x14ac:dyDescent="0.3"/>
  <cols>
    <col min="1" max="1" width="10.33203125" bestFit="1" customWidth="1"/>
    <col min="2" max="2" width="10.33203125" customWidth="1"/>
    <col min="3" max="3" width="14.5546875" customWidth="1"/>
    <col min="4" max="4" width="9.21875" customWidth="1"/>
    <col min="5" max="5" width="17.77734375" customWidth="1"/>
    <col min="6" max="6" width="11.5546875" customWidth="1"/>
    <col min="7" max="7" width="18.109375" customWidth="1"/>
    <col min="8" max="8" width="18.5546875" customWidth="1"/>
    <col min="9" max="9" width="13.88671875" customWidth="1"/>
    <col min="10" max="10" width="13.33203125" customWidth="1"/>
    <col min="11" max="11" width="22" customWidth="1"/>
    <col min="12" max="12" width="14.77734375" customWidth="1"/>
    <col min="13" max="13" width="16.21875" bestFit="1" customWidth="1"/>
    <col min="14" max="14" width="15.109375" bestFit="1" customWidth="1"/>
    <col min="15" max="15" width="7.44140625" bestFit="1" customWidth="1"/>
    <col min="16" max="16" width="13.44140625" bestFit="1" customWidth="1"/>
    <col min="17" max="17" width="10.88671875" customWidth="1"/>
    <col min="18" max="18" width="9.6640625" customWidth="1"/>
    <col min="19" max="19" width="13.6640625" customWidth="1"/>
    <col min="20" max="20" width="13.88671875" customWidth="1"/>
    <col min="21" max="21" width="23" customWidth="1"/>
    <col min="22" max="22" width="20.44140625" customWidth="1"/>
    <col min="23" max="23" width="16.44140625" customWidth="1"/>
    <col min="24" max="24" width="18.77734375" customWidth="1"/>
    <col min="25" max="25" width="18.44140625" customWidth="1"/>
  </cols>
  <sheetData>
    <row r="1" spans="1:25" x14ac:dyDescent="0.3">
      <c r="A1" t="s">
        <v>0</v>
      </c>
      <c r="B1" t="s">
        <v>427</v>
      </c>
      <c r="C1" t="s">
        <v>1</v>
      </c>
      <c r="D1" t="s">
        <v>2</v>
      </c>
      <c r="E1" t="s">
        <v>3</v>
      </c>
      <c r="F1" t="s">
        <v>4</v>
      </c>
      <c r="G1" t="s">
        <v>5</v>
      </c>
      <c r="H1" t="s">
        <v>6</v>
      </c>
      <c r="I1" t="s">
        <v>7</v>
      </c>
      <c r="J1" t="s">
        <v>8</v>
      </c>
      <c r="K1" t="s">
        <v>9</v>
      </c>
      <c r="L1" t="s">
        <v>10</v>
      </c>
      <c r="M1" t="s">
        <v>11</v>
      </c>
      <c r="N1" t="s">
        <v>12</v>
      </c>
      <c r="O1" t="s">
        <v>13</v>
      </c>
      <c r="P1" t="s">
        <v>14</v>
      </c>
      <c r="Q1" t="s">
        <v>15</v>
      </c>
      <c r="R1" t="s">
        <v>16</v>
      </c>
      <c r="S1" t="s">
        <v>17</v>
      </c>
      <c r="T1" t="s">
        <v>18</v>
      </c>
      <c r="U1" t="s">
        <v>19</v>
      </c>
      <c r="V1" t="s">
        <v>20</v>
      </c>
      <c r="W1" t="s">
        <v>21</v>
      </c>
      <c r="X1" t="s">
        <v>22</v>
      </c>
      <c r="Y1" t="s">
        <v>23</v>
      </c>
    </row>
    <row r="2" spans="1:25" x14ac:dyDescent="0.3">
      <c r="A2" t="s">
        <v>24</v>
      </c>
      <c r="B2" t="str">
        <f t="shared" ref="B2:B65" si="0">TEXT(A2,"MMM")</f>
        <v>Jul</v>
      </c>
      <c r="C2" t="s">
        <v>25</v>
      </c>
      <c r="D2" t="s">
        <v>26</v>
      </c>
      <c r="E2">
        <v>146944250142.57999</v>
      </c>
      <c r="F2">
        <v>3872.31</v>
      </c>
      <c r="G2">
        <v>1316693398.7</v>
      </c>
      <c r="H2">
        <v>4803783</v>
      </c>
      <c r="I2">
        <v>7433015</v>
      </c>
      <c r="J2">
        <v>7898191</v>
      </c>
      <c r="K2">
        <v>44.62</v>
      </c>
      <c r="L2">
        <v>2.35</v>
      </c>
      <c r="M2">
        <v>-18.940000000000001</v>
      </c>
      <c r="N2">
        <v>-33.35</v>
      </c>
      <c r="O2">
        <v>76</v>
      </c>
      <c r="P2" t="s">
        <v>27</v>
      </c>
      <c r="Q2" t="s">
        <v>28</v>
      </c>
      <c r="R2" t="s">
        <v>29</v>
      </c>
      <c r="S2">
        <v>2014</v>
      </c>
      <c r="T2" t="s">
        <v>30</v>
      </c>
      <c r="U2">
        <v>7321</v>
      </c>
      <c r="V2">
        <v>29.86</v>
      </c>
      <c r="W2">
        <v>90.31</v>
      </c>
      <c r="X2">
        <v>95.39</v>
      </c>
      <c r="Y2">
        <v>73.39</v>
      </c>
    </row>
    <row r="3" spans="1:25" x14ac:dyDescent="0.3">
      <c r="A3" t="s">
        <v>31</v>
      </c>
      <c r="B3" t="str">
        <f t="shared" si="0"/>
        <v>Feb</v>
      </c>
      <c r="C3" t="s">
        <v>32</v>
      </c>
      <c r="D3" t="s">
        <v>33</v>
      </c>
      <c r="E3">
        <v>734396527736.44995</v>
      </c>
      <c r="F3">
        <v>18568.8</v>
      </c>
      <c r="G3">
        <v>32028072218.759998</v>
      </c>
      <c r="H3">
        <v>17397006</v>
      </c>
      <c r="I3">
        <v>21365698</v>
      </c>
      <c r="J3">
        <v>21899790</v>
      </c>
      <c r="K3">
        <v>56.58</v>
      </c>
      <c r="L3">
        <v>2.83</v>
      </c>
      <c r="M3">
        <v>-3.14</v>
      </c>
      <c r="N3">
        <v>-18.170000000000002</v>
      </c>
      <c r="O3">
        <v>123</v>
      </c>
      <c r="P3" t="s">
        <v>27</v>
      </c>
      <c r="Q3" t="s">
        <v>34</v>
      </c>
      <c r="R3" t="s">
        <v>35</v>
      </c>
      <c r="S3">
        <v>2016</v>
      </c>
      <c r="T3" t="s">
        <v>36</v>
      </c>
      <c r="U3">
        <v>17792</v>
      </c>
      <c r="V3">
        <v>46.8</v>
      </c>
      <c r="W3">
        <v>66.88</v>
      </c>
      <c r="X3">
        <v>67.33</v>
      </c>
      <c r="Y3">
        <v>66.8</v>
      </c>
    </row>
    <row r="4" spans="1:25" x14ac:dyDescent="0.3">
      <c r="A4" t="s">
        <v>37</v>
      </c>
      <c r="B4" t="str">
        <f t="shared" si="0"/>
        <v>Jan</v>
      </c>
      <c r="C4" t="s">
        <v>38</v>
      </c>
      <c r="D4" t="s">
        <v>39</v>
      </c>
      <c r="E4">
        <v>501895283995.15002</v>
      </c>
      <c r="F4">
        <v>40680.720000000001</v>
      </c>
      <c r="G4">
        <v>47267598881.949997</v>
      </c>
      <c r="H4">
        <v>6744539</v>
      </c>
      <c r="I4">
        <v>11516384</v>
      </c>
      <c r="J4">
        <v>11835735</v>
      </c>
      <c r="K4">
        <v>34.68</v>
      </c>
      <c r="L4">
        <v>2.27</v>
      </c>
      <c r="M4">
        <v>4.1100000000000003</v>
      </c>
      <c r="N4">
        <v>26.87</v>
      </c>
      <c r="O4">
        <v>64</v>
      </c>
      <c r="P4" t="s">
        <v>40</v>
      </c>
      <c r="Q4" t="s">
        <v>41</v>
      </c>
      <c r="R4" t="s">
        <v>42</v>
      </c>
      <c r="S4">
        <v>2021</v>
      </c>
      <c r="T4" t="s">
        <v>36</v>
      </c>
      <c r="U4">
        <v>15795</v>
      </c>
      <c r="V4">
        <v>69.45</v>
      </c>
      <c r="W4">
        <v>30.89</v>
      </c>
      <c r="X4">
        <v>67.58</v>
      </c>
      <c r="Y4">
        <v>95.03</v>
      </c>
    </row>
    <row r="5" spans="1:25" x14ac:dyDescent="0.3">
      <c r="A5" t="s">
        <v>43</v>
      </c>
      <c r="B5" t="str">
        <f t="shared" si="0"/>
        <v>Nov</v>
      </c>
      <c r="C5" t="s">
        <v>44</v>
      </c>
      <c r="D5" t="s">
        <v>45</v>
      </c>
      <c r="E5">
        <v>394135122465.75</v>
      </c>
      <c r="F5">
        <v>19264.11</v>
      </c>
      <c r="G5">
        <v>16501713340.4</v>
      </c>
      <c r="H5">
        <v>4051696</v>
      </c>
      <c r="I5">
        <v>6453404</v>
      </c>
      <c r="J5">
        <v>6984362</v>
      </c>
      <c r="K5">
        <v>10.28</v>
      </c>
      <c r="L5">
        <v>3.12</v>
      </c>
      <c r="M5">
        <v>-4.9800000000000004</v>
      </c>
      <c r="N5">
        <v>-28.09</v>
      </c>
      <c r="O5">
        <v>134</v>
      </c>
      <c r="P5" t="s">
        <v>46</v>
      </c>
      <c r="Q5" t="s">
        <v>47</v>
      </c>
      <c r="R5" t="s">
        <v>42</v>
      </c>
      <c r="S5">
        <v>2018</v>
      </c>
      <c r="T5" t="s">
        <v>36</v>
      </c>
      <c r="U5">
        <v>740</v>
      </c>
      <c r="V5">
        <v>65.8</v>
      </c>
      <c r="W5">
        <v>72.34</v>
      </c>
      <c r="X5">
        <v>29.75</v>
      </c>
      <c r="Y5">
        <v>54.66</v>
      </c>
    </row>
    <row r="6" spans="1:25" x14ac:dyDescent="0.3">
      <c r="A6" t="s">
        <v>48</v>
      </c>
      <c r="B6" t="str">
        <f t="shared" si="0"/>
        <v>Dec</v>
      </c>
      <c r="C6" t="s">
        <v>49</v>
      </c>
      <c r="D6" t="s">
        <v>50</v>
      </c>
      <c r="E6">
        <v>492826879019.28003</v>
      </c>
      <c r="F6">
        <v>68655.149999999994</v>
      </c>
      <c r="G6">
        <v>25874900341.860001</v>
      </c>
      <c r="H6">
        <v>16727924</v>
      </c>
      <c r="I6">
        <v>21136350</v>
      </c>
      <c r="J6">
        <v>21676030</v>
      </c>
      <c r="K6">
        <v>41.55</v>
      </c>
      <c r="L6">
        <v>4.1100000000000003</v>
      </c>
      <c r="M6">
        <v>18.829999999999998</v>
      </c>
      <c r="N6">
        <v>24.85</v>
      </c>
      <c r="O6">
        <v>99</v>
      </c>
      <c r="P6" t="s">
        <v>51</v>
      </c>
      <c r="Q6" t="s">
        <v>47</v>
      </c>
      <c r="R6" t="s">
        <v>35</v>
      </c>
      <c r="S6">
        <v>2011</v>
      </c>
      <c r="T6" t="s">
        <v>36</v>
      </c>
      <c r="U6">
        <v>12313</v>
      </c>
      <c r="V6">
        <v>89.66</v>
      </c>
      <c r="W6">
        <v>30.38</v>
      </c>
      <c r="X6">
        <v>63.92</v>
      </c>
      <c r="Y6">
        <v>24.6</v>
      </c>
    </row>
    <row r="7" spans="1:25" x14ac:dyDescent="0.3">
      <c r="A7" t="s">
        <v>52</v>
      </c>
      <c r="B7" t="str">
        <f t="shared" si="0"/>
        <v>Aug</v>
      </c>
      <c r="C7" t="s">
        <v>44</v>
      </c>
      <c r="D7" t="s">
        <v>45</v>
      </c>
      <c r="E7">
        <v>623874612421.05005</v>
      </c>
      <c r="F7">
        <v>53945.4</v>
      </c>
      <c r="G7">
        <v>39000968476.239998</v>
      </c>
      <c r="H7">
        <v>17406471</v>
      </c>
      <c r="I7">
        <v>21840242</v>
      </c>
      <c r="J7">
        <v>21881334</v>
      </c>
      <c r="K7">
        <v>40.590000000000003</v>
      </c>
      <c r="L7">
        <v>-0.66</v>
      </c>
      <c r="M7">
        <v>10.61</v>
      </c>
      <c r="N7">
        <v>28.37</v>
      </c>
      <c r="O7">
        <v>97</v>
      </c>
      <c r="P7" t="s">
        <v>53</v>
      </c>
      <c r="Q7" t="s">
        <v>34</v>
      </c>
      <c r="R7" t="s">
        <v>42</v>
      </c>
      <c r="S7">
        <v>2014</v>
      </c>
      <c r="T7" t="s">
        <v>36</v>
      </c>
      <c r="U7">
        <v>35551</v>
      </c>
      <c r="V7">
        <v>76.510000000000005</v>
      </c>
      <c r="W7">
        <v>21.97</v>
      </c>
      <c r="X7">
        <v>76.849999999999994</v>
      </c>
      <c r="Y7">
        <v>76.48</v>
      </c>
    </row>
    <row r="8" spans="1:25" x14ac:dyDescent="0.3">
      <c r="A8" t="s">
        <v>54</v>
      </c>
      <c r="B8" t="str">
        <f t="shared" si="0"/>
        <v>Feb</v>
      </c>
      <c r="C8" t="s">
        <v>55</v>
      </c>
      <c r="D8" t="s">
        <v>56</v>
      </c>
      <c r="E8">
        <v>93539459604.880005</v>
      </c>
      <c r="F8">
        <v>45002.61</v>
      </c>
      <c r="G8">
        <v>41013915740.940002</v>
      </c>
      <c r="H8">
        <v>14393186</v>
      </c>
      <c r="I8">
        <v>18865916</v>
      </c>
      <c r="J8">
        <v>19667317</v>
      </c>
      <c r="K8">
        <v>41.98</v>
      </c>
      <c r="L8">
        <v>-1.88</v>
      </c>
      <c r="M8">
        <v>7.7</v>
      </c>
      <c r="N8">
        <v>-19.23</v>
      </c>
      <c r="O8">
        <v>181</v>
      </c>
      <c r="P8" t="s">
        <v>53</v>
      </c>
      <c r="Q8" t="s">
        <v>57</v>
      </c>
      <c r="R8" t="s">
        <v>29</v>
      </c>
      <c r="S8">
        <v>2012</v>
      </c>
      <c r="T8" t="s">
        <v>58</v>
      </c>
      <c r="U8">
        <v>38378</v>
      </c>
      <c r="V8">
        <v>73.84</v>
      </c>
      <c r="W8">
        <v>74.819999999999993</v>
      </c>
      <c r="X8">
        <v>36.81</v>
      </c>
      <c r="Y8">
        <v>39.229999999999997</v>
      </c>
    </row>
    <row r="9" spans="1:25" x14ac:dyDescent="0.3">
      <c r="A9" t="s">
        <v>59</v>
      </c>
      <c r="B9" t="str">
        <f t="shared" si="0"/>
        <v>Jan</v>
      </c>
      <c r="C9" t="s">
        <v>60</v>
      </c>
      <c r="D9" t="s">
        <v>61</v>
      </c>
      <c r="E9">
        <v>78668658240.910004</v>
      </c>
      <c r="F9">
        <v>4871.67</v>
      </c>
      <c r="G9">
        <v>3655487428.3099999</v>
      </c>
      <c r="H9">
        <v>3158535</v>
      </c>
      <c r="I9">
        <v>3313470</v>
      </c>
      <c r="J9">
        <v>3643665</v>
      </c>
      <c r="K9">
        <v>1.97</v>
      </c>
      <c r="L9">
        <v>3.53</v>
      </c>
      <c r="M9">
        <v>-0.41</v>
      </c>
      <c r="N9">
        <v>15.76</v>
      </c>
      <c r="O9">
        <v>9</v>
      </c>
      <c r="P9" t="s">
        <v>40</v>
      </c>
      <c r="Q9" t="s">
        <v>34</v>
      </c>
      <c r="R9" t="s">
        <v>35</v>
      </c>
      <c r="S9">
        <v>2015</v>
      </c>
      <c r="T9" t="s">
        <v>30</v>
      </c>
      <c r="U9">
        <v>14724</v>
      </c>
      <c r="V9">
        <v>43.45</v>
      </c>
      <c r="W9">
        <v>86.43</v>
      </c>
      <c r="X9">
        <v>60.15</v>
      </c>
      <c r="Y9">
        <v>33.46</v>
      </c>
    </row>
    <row r="10" spans="1:25" x14ac:dyDescent="0.3">
      <c r="A10" t="s">
        <v>62</v>
      </c>
      <c r="B10" t="str">
        <f t="shared" si="0"/>
        <v>May</v>
      </c>
      <c r="C10" t="s">
        <v>60</v>
      </c>
      <c r="D10" t="s">
        <v>61</v>
      </c>
      <c r="E10">
        <v>285638740741.70001</v>
      </c>
      <c r="F10">
        <v>51231.91</v>
      </c>
      <c r="G10">
        <v>47115609145.68</v>
      </c>
      <c r="H10">
        <v>17778082</v>
      </c>
      <c r="I10">
        <v>22664888</v>
      </c>
      <c r="J10">
        <v>23057770</v>
      </c>
      <c r="K10">
        <v>6.23</v>
      </c>
      <c r="L10">
        <v>1.88</v>
      </c>
      <c r="M10">
        <v>-15.24</v>
      </c>
      <c r="N10">
        <v>15.37</v>
      </c>
      <c r="O10">
        <v>107</v>
      </c>
      <c r="P10" t="s">
        <v>51</v>
      </c>
      <c r="Q10" t="s">
        <v>41</v>
      </c>
      <c r="R10" t="s">
        <v>35</v>
      </c>
      <c r="S10">
        <v>2011</v>
      </c>
      <c r="T10" t="s">
        <v>30</v>
      </c>
      <c r="U10">
        <v>45243</v>
      </c>
      <c r="V10">
        <v>88.85</v>
      </c>
      <c r="W10">
        <v>43.76</v>
      </c>
      <c r="X10">
        <v>84.53</v>
      </c>
      <c r="Y10">
        <v>51.57</v>
      </c>
    </row>
    <row r="11" spans="1:25" x14ac:dyDescent="0.3">
      <c r="A11" t="s">
        <v>63</v>
      </c>
      <c r="B11" t="str">
        <f t="shared" si="0"/>
        <v>Jun</v>
      </c>
      <c r="C11" t="s">
        <v>55</v>
      </c>
      <c r="D11" t="s">
        <v>56</v>
      </c>
      <c r="E11">
        <v>559326028340.72998</v>
      </c>
      <c r="F11">
        <v>56668.82</v>
      </c>
      <c r="G11">
        <v>40761346638.980003</v>
      </c>
      <c r="H11">
        <v>10094216</v>
      </c>
      <c r="I11">
        <v>14755509</v>
      </c>
      <c r="J11">
        <v>14997549</v>
      </c>
      <c r="K11">
        <v>5.25</v>
      </c>
      <c r="L11">
        <v>1.78</v>
      </c>
      <c r="M11">
        <v>19.62</v>
      </c>
      <c r="N11">
        <v>-37.72</v>
      </c>
      <c r="O11">
        <v>15</v>
      </c>
      <c r="P11" t="s">
        <v>51</v>
      </c>
      <c r="Q11" t="s">
        <v>57</v>
      </c>
      <c r="R11" t="s">
        <v>64</v>
      </c>
      <c r="S11">
        <v>2017</v>
      </c>
      <c r="T11" t="s">
        <v>58</v>
      </c>
      <c r="U11">
        <v>23695</v>
      </c>
      <c r="V11">
        <v>50.82</v>
      </c>
      <c r="W11">
        <v>25.56</v>
      </c>
      <c r="X11">
        <v>80.849999999999994</v>
      </c>
      <c r="Y11">
        <v>84.66</v>
      </c>
    </row>
    <row r="12" spans="1:25" x14ac:dyDescent="0.3">
      <c r="A12" t="s">
        <v>65</v>
      </c>
      <c r="B12" t="str">
        <f t="shared" si="0"/>
        <v>May</v>
      </c>
      <c r="C12" t="s">
        <v>32</v>
      </c>
      <c r="D12" t="s">
        <v>33</v>
      </c>
      <c r="E12">
        <v>596963940550.09998</v>
      </c>
      <c r="F12">
        <v>21638.12</v>
      </c>
      <c r="G12">
        <v>44148728695.209999</v>
      </c>
      <c r="H12">
        <v>6799417</v>
      </c>
      <c r="I12">
        <v>8018083</v>
      </c>
      <c r="J12">
        <v>9014653</v>
      </c>
      <c r="K12">
        <v>44.9</v>
      </c>
      <c r="L12">
        <v>-4.09</v>
      </c>
      <c r="M12">
        <v>9.27</v>
      </c>
      <c r="N12">
        <v>36.229999999999997</v>
      </c>
      <c r="O12">
        <v>143</v>
      </c>
      <c r="P12" t="s">
        <v>46</v>
      </c>
      <c r="Q12" t="s">
        <v>47</v>
      </c>
      <c r="R12" t="s">
        <v>35</v>
      </c>
      <c r="S12">
        <v>2013</v>
      </c>
      <c r="T12" t="s">
        <v>36</v>
      </c>
      <c r="U12">
        <v>44858</v>
      </c>
      <c r="V12">
        <v>39.46</v>
      </c>
      <c r="W12">
        <v>52.37</v>
      </c>
      <c r="X12">
        <v>47.57</v>
      </c>
      <c r="Y12">
        <v>81.209999999999994</v>
      </c>
    </row>
    <row r="13" spans="1:25" x14ac:dyDescent="0.3">
      <c r="A13" t="s">
        <v>66</v>
      </c>
      <c r="B13" t="str">
        <f t="shared" si="0"/>
        <v>Apr</v>
      </c>
      <c r="C13" t="s">
        <v>38</v>
      </c>
      <c r="D13" t="s">
        <v>39</v>
      </c>
      <c r="E13">
        <v>484470126762.03998</v>
      </c>
      <c r="F13">
        <v>12753.7</v>
      </c>
      <c r="G13">
        <v>29747957114.080002</v>
      </c>
      <c r="H13">
        <v>9692002</v>
      </c>
      <c r="I13">
        <v>11117257</v>
      </c>
      <c r="J13">
        <v>12087401</v>
      </c>
      <c r="K13">
        <v>17.45</v>
      </c>
      <c r="L13">
        <v>-3.74</v>
      </c>
      <c r="M13">
        <v>6.2</v>
      </c>
      <c r="N13">
        <v>34.99</v>
      </c>
      <c r="O13">
        <v>103</v>
      </c>
      <c r="P13" t="s">
        <v>46</v>
      </c>
      <c r="Q13" t="s">
        <v>47</v>
      </c>
      <c r="R13" t="s">
        <v>29</v>
      </c>
      <c r="S13">
        <v>2023</v>
      </c>
      <c r="T13" t="s">
        <v>36</v>
      </c>
      <c r="U13">
        <v>4533</v>
      </c>
      <c r="V13">
        <v>97.62</v>
      </c>
      <c r="W13">
        <v>44.71</v>
      </c>
      <c r="X13">
        <v>11.07</v>
      </c>
      <c r="Y13">
        <v>76.84</v>
      </c>
    </row>
    <row r="14" spans="1:25" x14ac:dyDescent="0.3">
      <c r="A14" t="s">
        <v>67</v>
      </c>
      <c r="B14" t="str">
        <f t="shared" si="0"/>
        <v>Mar</v>
      </c>
      <c r="C14" t="s">
        <v>68</v>
      </c>
      <c r="D14" t="s">
        <v>69</v>
      </c>
      <c r="E14">
        <v>260530738306.56</v>
      </c>
      <c r="F14">
        <v>15095.15</v>
      </c>
      <c r="G14">
        <v>18704850143.639999</v>
      </c>
      <c r="H14">
        <v>13885348</v>
      </c>
      <c r="I14">
        <v>17391185</v>
      </c>
      <c r="J14">
        <v>17586346</v>
      </c>
      <c r="K14">
        <v>43.97</v>
      </c>
      <c r="L14">
        <v>2.84</v>
      </c>
      <c r="M14">
        <v>-17.32</v>
      </c>
      <c r="N14">
        <v>-5.85</v>
      </c>
      <c r="O14">
        <v>159</v>
      </c>
      <c r="P14" t="s">
        <v>53</v>
      </c>
      <c r="Q14" t="s">
        <v>57</v>
      </c>
      <c r="R14" t="s">
        <v>42</v>
      </c>
      <c r="S14">
        <v>2023</v>
      </c>
      <c r="T14" t="s">
        <v>36</v>
      </c>
      <c r="U14">
        <v>64975</v>
      </c>
      <c r="V14">
        <v>96.89</v>
      </c>
      <c r="W14">
        <v>88.81</v>
      </c>
      <c r="X14">
        <v>62.09</v>
      </c>
      <c r="Y14">
        <v>87.3</v>
      </c>
    </row>
    <row r="15" spans="1:25" x14ac:dyDescent="0.3">
      <c r="A15" t="s">
        <v>70</v>
      </c>
      <c r="B15" t="str">
        <f t="shared" si="0"/>
        <v>Dec</v>
      </c>
      <c r="C15" t="s">
        <v>32</v>
      </c>
      <c r="D15" t="s">
        <v>33</v>
      </c>
      <c r="E15">
        <v>463134502377.22998</v>
      </c>
      <c r="F15">
        <v>46932.35</v>
      </c>
      <c r="G15">
        <v>36403846941.919998</v>
      </c>
      <c r="H15">
        <v>1650790</v>
      </c>
      <c r="I15">
        <v>4539468</v>
      </c>
      <c r="J15">
        <v>5385952</v>
      </c>
      <c r="K15">
        <v>5.21</v>
      </c>
      <c r="L15">
        <v>4.17</v>
      </c>
      <c r="M15">
        <v>11.34</v>
      </c>
      <c r="N15">
        <v>-7.81</v>
      </c>
      <c r="O15">
        <v>70</v>
      </c>
      <c r="P15" t="s">
        <v>46</v>
      </c>
      <c r="Q15" t="s">
        <v>41</v>
      </c>
      <c r="R15" t="s">
        <v>64</v>
      </c>
      <c r="S15">
        <v>2012</v>
      </c>
      <c r="T15" t="s">
        <v>36</v>
      </c>
      <c r="U15">
        <v>60733</v>
      </c>
      <c r="V15">
        <v>68.73</v>
      </c>
      <c r="W15">
        <v>82.63</v>
      </c>
      <c r="X15">
        <v>35.31</v>
      </c>
      <c r="Y15">
        <v>27.84</v>
      </c>
    </row>
    <row r="16" spans="1:25" x14ac:dyDescent="0.3">
      <c r="A16" t="s">
        <v>71</v>
      </c>
      <c r="B16" t="str">
        <f t="shared" si="0"/>
        <v>Aug</v>
      </c>
      <c r="C16" t="s">
        <v>68</v>
      </c>
      <c r="D16" t="s">
        <v>69</v>
      </c>
      <c r="E16">
        <v>802803120979.38</v>
      </c>
      <c r="F16">
        <v>22779.75</v>
      </c>
      <c r="G16">
        <v>23323826718.389999</v>
      </c>
      <c r="H16">
        <v>18968542</v>
      </c>
      <c r="I16">
        <v>23225722</v>
      </c>
      <c r="J16">
        <v>23687245</v>
      </c>
      <c r="K16">
        <v>23.26</v>
      </c>
      <c r="L16">
        <v>-4.72</v>
      </c>
      <c r="M16">
        <v>4.34</v>
      </c>
      <c r="N16">
        <v>-5.0199999999999996</v>
      </c>
      <c r="O16">
        <v>55</v>
      </c>
      <c r="P16" t="s">
        <v>51</v>
      </c>
      <c r="Q16" t="s">
        <v>41</v>
      </c>
      <c r="R16" t="s">
        <v>64</v>
      </c>
      <c r="S16">
        <v>2021</v>
      </c>
      <c r="T16" t="s">
        <v>36</v>
      </c>
      <c r="U16">
        <v>56186</v>
      </c>
      <c r="V16">
        <v>25.58</v>
      </c>
      <c r="W16">
        <v>77.61</v>
      </c>
      <c r="X16">
        <v>86.58</v>
      </c>
      <c r="Y16">
        <v>35.340000000000003</v>
      </c>
    </row>
    <row r="17" spans="1:25" x14ac:dyDescent="0.3">
      <c r="A17" t="s">
        <v>72</v>
      </c>
      <c r="B17" t="str">
        <f t="shared" si="0"/>
        <v>May</v>
      </c>
      <c r="C17" t="s">
        <v>68</v>
      </c>
      <c r="D17" t="s">
        <v>69</v>
      </c>
      <c r="E17">
        <v>799518121892.02002</v>
      </c>
      <c r="F17">
        <v>17810.490000000002</v>
      </c>
      <c r="G17">
        <v>41733709075.07</v>
      </c>
      <c r="H17">
        <v>13667172</v>
      </c>
      <c r="I17">
        <v>14722324</v>
      </c>
      <c r="J17">
        <v>15581576</v>
      </c>
      <c r="K17">
        <v>26.59</v>
      </c>
      <c r="L17">
        <v>0.17</v>
      </c>
      <c r="M17">
        <v>-5.67</v>
      </c>
      <c r="N17">
        <v>-10.59</v>
      </c>
      <c r="O17">
        <v>184</v>
      </c>
      <c r="P17" t="s">
        <v>53</v>
      </c>
      <c r="Q17" t="s">
        <v>34</v>
      </c>
      <c r="R17" t="s">
        <v>29</v>
      </c>
      <c r="S17">
        <v>2013</v>
      </c>
      <c r="T17" t="s">
        <v>36</v>
      </c>
      <c r="U17">
        <v>23731</v>
      </c>
      <c r="V17">
        <v>67.819999999999993</v>
      </c>
      <c r="W17">
        <v>45.24</v>
      </c>
      <c r="X17">
        <v>18.739999999999998</v>
      </c>
      <c r="Y17">
        <v>72.78</v>
      </c>
    </row>
    <row r="18" spans="1:25" x14ac:dyDescent="0.3">
      <c r="A18" t="s">
        <v>73</v>
      </c>
      <c r="B18" t="str">
        <f t="shared" si="0"/>
        <v>May</v>
      </c>
      <c r="C18" t="s">
        <v>55</v>
      </c>
      <c r="D18" t="s">
        <v>56</v>
      </c>
      <c r="E18">
        <v>425860474934.90002</v>
      </c>
      <c r="F18">
        <v>24496.09</v>
      </c>
      <c r="G18">
        <v>718049452.25999999</v>
      </c>
      <c r="H18">
        <v>1777687</v>
      </c>
      <c r="I18">
        <v>4399822</v>
      </c>
      <c r="J18">
        <v>4598780</v>
      </c>
      <c r="K18">
        <v>41.67</v>
      </c>
      <c r="L18">
        <v>-4.83</v>
      </c>
      <c r="M18">
        <v>5.42</v>
      </c>
      <c r="N18">
        <v>-29.41</v>
      </c>
      <c r="O18">
        <v>99</v>
      </c>
      <c r="P18" t="s">
        <v>40</v>
      </c>
      <c r="Q18" t="s">
        <v>57</v>
      </c>
      <c r="R18" t="s">
        <v>74</v>
      </c>
      <c r="S18">
        <v>2012</v>
      </c>
      <c r="T18" t="s">
        <v>58</v>
      </c>
      <c r="U18">
        <v>36686</v>
      </c>
      <c r="V18">
        <v>10.039999999999999</v>
      </c>
      <c r="W18">
        <v>42.66</v>
      </c>
      <c r="X18">
        <v>29.19</v>
      </c>
      <c r="Y18">
        <v>21.48</v>
      </c>
    </row>
    <row r="19" spans="1:25" x14ac:dyDescent="0.3">
      <c r="A19" t="s">
        <v>75</v>
      </c>
      <c r="B19" t="str">
        <f t="shared" si="0"/>
        <v>Aug</v>
      </c>
      <c r="C19" t="s">
        <v>32</v>
      </c>
      <c r="D19" t="s">
        <v>33</v>
      </c>
      <c r="E19">
        <v>861695226134.06006</v>
      </c>
      <c r="F19">
        <v>51772.87</v>
      </c>
      <c r="G19">
        <v>43504480155.589996</v>
      </c>
      <c r="H19">
        <v>11922873</v>
      </c>
      <c r="I19">
        <v>16063702</v>
      </c>
      <c r="J19">
        <v>16173658</v>
      </c>
      <c r="K19">
        <v>49.09</v>
      </c>
      <c r="L19">
        <v>3.03</v>
      </c>
      <c r="M19">
        <v>2.4500000000000002</v>
      </c>
      <c r="N19">
        <v>-4.5199999999999996</v>
      </c>
      <c r="O19">
        <v>126</v>
      </c>
      <c r="P19" t="s">
        <v>46</v>
      </c>
      <c r="Q19" t="s">
        <v>34</v>
      </c>
      <c r="R19" t="s">
        <v>42</v>
      </c>
      <c r="S19">
        <v>2023</v>
      </c>
      <c r="T19" t="s">
        <v>36</v>
      </c>
      <c r="U19">
        <v>54115</v>
      </c>
      <c r="V19">
        <v>88.51</v>
      </c>
      <c r="W19">
        <v>55.22</v>
      </c>
      <c r="X19">
        <v>45.17</v>
      </c>
      <c r="Y19">
        <v>59.32</v>
      </c>
    </row>
    <row r="20" spans="1:25" x14ac:dyDescent="0.3">
      <c r="A20" t="s">
        <v>76</v>
      </c>
      <c r="B20" t="str">
        <f t="shared" si="0"/>
        <v>Aug</v>
      </c>
      <c r="C20" t="s">
        <v>68</v>
      </c>
      <c r="D20" t="s">
        <v>69</v>
      </c>
      <c r="E20">
        <v>162171672299.78</v>
      </c>
      <c r="F20">
        <v>66304.429999999993</v>
      </c>
      <c r="G20">
        <v>9640294633.8700008</v>
      </c>
      <c r="H20">
        <v>13213789</v>
      </c>
      <c r="I20">
        <v>16510027</v>
      </c>
      <c r="J20">
        <v>17336499</v>
      </c>
      <c r="K20">
        <v>47.28</v>
      </c>
      <c r="L20">
        <v>-3.89</v>
      </c>
      <c r="M20">
        <v>17.579999999999998</v>
      </c>
      <c r="N20">
        <v>-14.68</v>
      </c>
      <c r="O20">
        <v>40</v>
      </c>
      <c r="P20" t="s">
        <v>53</v>
      </c>
      <c r="Q20" t="s">
        <v>28</v>
      </c>
      <c r="R20" t="s">
        <v>29</v>
      </c>
      <c r="S20">
        <v>2022</v>
      </c>
      <c r="T20" t="s">
        <v>36</v>
      </c>
      <c r="U20">
        <v>19495</v>
      </c>
      <c r="V20">
        <v>20.09</v>
      </c>
      <c r="W20">
        <v>50.1</v>
      </c>
      <c r="X20">
        <v>34.96</v>
      </c>
      <c r="Y20">
        <v>69.97</v>
      </c>
    </row>
    <row r="21" spans="1:25" x14ac:dyDescent="0.3">
      <c r="A21" t="s">
        <v>77</v>
      </c>
      <c r="B21" t="str">
        <f t="shared" si="0"/>
        <v>Jan</v>
      </c>
      <c r="C21" t="s">
        <v>78</v>
      </c>
      <c r="D21" t="s">
        <v>79</v>
      </c>
      <c r="E21">
        <v>202448001479.04999</v>
      </c>
      <c r="F21">
        <v>58987.62</v>
      </c>
      <c r="G21">
        <v>38324779826.449997</v>
      </c>
      <c r="H21">
        <v>3088057</v>
      </c>
      <c r="I21">
        <v>5239949</v>
      </c>
      <c r="J21">
        <v>6060927</v>
      </c>
      <c r="K21">
        <v>30.37</v>
      </c>
      <c r="L21">
        <v>-1.31</v>
      </c>
      <c r="M21">
        <v>8.9499999999999993</v>
      </c>
      <c r="N21">
        <v>5.99</v>
      </c>
      <c r="O21">
        <v>107</v>
      </c>
      <c r="P21" t="s">
        <v>40</v>
      </c>
      <c r="Q21" t="s">
        <v>28</v>
      </c>
      <c r="R21" t="s">
        <v>42</v>
      </c>
      <c r="S21">
        <v>2010</v>
      </c>
      <c r="T21" t="s">
        <v>36</v>
      </c>
      <c r="U21">
        <v>50666</v>
      </c>
      <c r="V21">
        <v>33.57</v>
      </c>
      <c r="W21">
        <v>23.39</v>
      </c>
      <c r="X21">
        <v>92.95</v>
      </c>
      <c r="Y21">
        <v>51.16</v>
      </c>
    </row>
    <row r="22" spans="1:25" x14ac:dyDescent="0.3">
      <c r="A22" t="s">
        <v>80</v>
      </c>
      <c r="B22" t="str">
        <f t="shared" si="0"/>
        <v>Oct</v>
      </c>
      <c r="C22" t="s">
        <v>78</v>
      </c>
      <c r="D22" t="s">
        <v>79</v>
      </c>
      <c r="E22">
        <v>749654053087.90002</v>
      </c>
      <c r="F22">
        <v>1940.64</v>
      </c>
      <c r="G22">
        <v>16298082518.4</v>
      </c>
      <c r="H22">
        <v>14642887</v>
      </c>
      <c r="I22">
        <v>18784841</v>
      </c>
      <c r="J22">
        <v>19420766</v>
      </c>
      <c r="K22">
        <v>16.32</v>
      </c>
      <c r="L22">
        <v>-0.32</v>
      </c>
      <c r="M22">
        <v>0.87</v>
      </c>
      <c r="N22">
        <v>28.31</v>
      </c>
      <c r="O22">
        <v>199</v>
      </c>
      <c r="P22" t="s">
        <v>51</v>
      </c>
      <c r="Q22" t="s">
        <v>28</v>
      </c>
      <c r="R22" t="s">
        <v>74</v>
      </c>
      <c r="S22">
        <v>2021</v>
      </c>
      <c r="T22" t="s">
        <v>36</v>
      </c>
      <c r="U22">
        <v>37034</v>
      </c>
      <c r="V22">
        <v>65.06</v>
      </c>
      <c r="W22">
        <v>98.35</v>
      </c>
      <c r="X22">
        <v>67.3</v>
      </c>
      <c r="Y22">
        <v>71.38</v>
      </c>
    </row>
    <row r="23" spans="1:25" x14ac:dyDescent="0.3">
      <c r="A23" t="s">
        <v>54</v>
      </c>
      <c r="B23" t="str">
        <f t="shared" si="0"/>
        <v>Feb</v>
      </c>
      <c r="C23" t="s">
        <v>44</v>
      </c>
      <c r="D23" t="s">
        <v>45</v>
      </c>
      <c r="E23">
        <v>508757577725.75</v>
      </c>
      <c r="F23">
        <v>68228.88</v>
      </c>
      <c r="G23">
        <v>22297150292.110001</v>
      </c>
      <c r="H23">
        <v>6466072</v>
      </c>
      <c r="I23">
        <v>6588981</v>
      </c>
      <c r="J23">
        <v>7459458</v>
      </c>
      <c r="K23">
        <v>36.03</v>
      </c>
      <c r="L23">
        <v>-3.39</v>
      </c>
      <c r="M23">
        <v>19.32</v>
      </c>
      <c r="N23">
        <v>39.03</v>
      </c>
      <c r="O23">
        <v>80</v>
      </c>
      <c r="P23" t="s">
        <v>40</v>
      </c>
      <c r="Q23" t="s">
        <v>28</v>
      </c>
      <c r="R23" t="s">
        <v>29</v>
      </c>
      <c r="S23">
        <v>2010</v>
      </c>
      <c r="T23" t="s">
        <v>36</v>
      </c>
      <c r="U23">
        <v>6234</v>
      </c>
      <c r="V23">
        <v>82.69</v>
      </c>
      <c r="W23">
        <v>96.37</v>
      </c>
      <c r="X23">
        <v>46.73</v>
      </c>
      <c r="Y23">
        <v>88.54</v>
      </c>
    </row>
    <row r="24" spans="1:25" x14ac:dyDescent="0.3">
      <c r="A24" t="s">
        <v>81</v>
      </c>
      <c r="B24" t="str">
        <f t="shared" si="0"/>
        <v>Feb</v>
      </c>
      <c r="C24" t="s">
        <v>38</v>
      </c>
      <c r="D24" t="s">
        <v>39</v>
      </c>
      <c r="E24">
        <v>645989109919.89001</v>
      </c>
      <c r="F24">
        <v>34941.19</v>
      </c>
      <c r="G24">
        <v>38184317159.529999</v>
      </c>
      <c r="H24">
        <v>13648503</v>
      </c>
      <c r="I24">
        <v>15368580</v>
      </c>
      <c r="J24">
        <v>15644235</v>
      </c>
      <c r="K24">
        <v>15.76</v>
      </c>
      <c r="L24">
        <v>4.3499999999999996</v>
      </c>
      <c r="M24">
        <v>-15.32</v>
      </c>
      <c r="N24">
        <v>16.55</v>
      </c>
      <c r="O24">
        <v>14</v>
      </c>
      <c r="P24" t="s">
        <v>51</v>
      </c>
      <c r="Q24" t="s">
        <v>28</v>
      </c>
      <c r="R24" t="s">
        <v>42</v>
      </c>
      <c r="S24">
        <v>2014</v>
      </c>
      <c r="T24" t="s">
        <v>36</v>
      </c>
      <c r="U24">
        <v>25099</v>
      </c>
      <c r="V24">
        <v>84.28</v>
      </c>
      <c r="W24">
        <v>71.87</v>
      </c>
      <c r="X24">
        <v>33.630000000000003</v>
      </c>
      <c r="Y24">
        <v>26.68</v>
      </c>
    </row>
    <row r="25" spans="1:25" x14ac:dyDescent="0.3">
      <c r="A25" t="s">
        <v>82</v>
      </c>
      <c r="B25" t="str">
        <f t="shared" si="0"/>
        <v>Jun</v>
      </c>
      <c r="C25" t="s">
        <v>49</v>
      </c>
      <c r="D25" t="s">
        <v>50</v>
      </c>
      <c r="E25">
        <v>224354018138.04001</v>
      </c>
      <c r="F25">
        <v>33887.75</v>
      </c>
      <c r="G25">
        <v>14028517297.700001</v>
      </c>
      <c r="H25">
        <v>16925043</v>
      </c>
      <c r="I25">
        <v>20988466</v>
      </c>
      <c r="J25">
        <v>21203202</v>
      </c>
      <c r="K25">
        <v>52.33</v>
      </c>
      <c r="L25">
        <v>3.56</v>
      </c>
      <c r="M25">
        <v>-19.760000000000002</v>
      </c>
      <c r="N25">
        <v>29.35</v>
      </c>
      <c r="O25">
        <v>1</v>
      </c>
      <c r="P25" t="s">
        <v>46</v>
      </c>
      <c r="Q25" t="s">
        <v>57</v>
      </c>
      <c r="R25" t="s">
        <v>64</v>
      </c>
      <c r="S25">
        <v>2018</v>
      </c>
      <c r="T25" t="s">
        <v>36</v>
      </c>
      <c r="U25">
        <v>19612</v>
      </c>
      <c r="V25">
        <v>42.16</v>
      </c>
      <c r="W25">
        <v>77.63</v>
      </c>
      <c r="X25">
        <v>12.98</v>
      </c>
      <c r="Y25">
        <v>33.25</v>
      </c>
    </row>
    <row r="26" spans="1:25" x14ac:dyDescent="0.3">
      <c r="A26" t="s">
        <v>83</v>
      </c>
      <c r="B26" t="str">
        <f t="shared" si="0"/>
        <v>Jan</v>
      </c>
      <c r="C26" t="s">
        <v>60</v>
      </c>
      <c r="D26" t="s">
        <v>61</v>
      </c>
      <c r="E26">
        <v>561095024008.85999</v>
      </c>
      <c r="F26">
        <v>1458.54</v>
      </c>
      <c r="G26">
        <v>21098034000.07</v>
      </c>
      <c r="H26">
        <v>10775437</v>
      </c>
      <c r="I26">
        <v>14788979</v>
      </c>
      <c r="J26">
        <v>15095106</v>
      </c>
      <c r="K26">
        <v>21.3</v>
      </c>
      <c r="L26">
        <v>-1.32</v>
      </c>
      <c r="M26">
        <v>1.77</v>
      </c>
      <c r="N26">
        <v>-0.12</v>
      </c>
      <c r="O26">
        <v>76</v>
      </c>
      <c r="P26" t="s">
        <v>51</v>
      </c>
      <c r="Q26" t="s">
        <v>28</v>
      </c>
      <c r="R26" t="s">
        <v>64</v>
      </c>
      <c r="S26">
        <v>2018</v>
      </c>
      <c r="T26" t="s">
        <v>30</v>
      </c>
      <c r="U26">
        <v>32830</v>
      </c>
      <c r="V26">
        <v>35</v>
      </c>
      <c r="W26">
        <v>36.659999999999997</v>
      </c>
      <c r="X26">
        <v>71.84</v>
      </c>
      <c r="Y26">
        <v>62.77</v>
      </c>
    </row>
    <row r="27" spans="1:25" x14ac:dyDescent="0.3">
      <c r="A27" t="s">
        <v>84</v>
      </c>
      <c r="B27" t="str">
        <f t="shared" si="0"/>
        <v>Jul</v>
      </c>
      <c r="C27" t="s">
        <v>68</v>
      </c>
      <c r="D27" t="s">
        <v>69</v>
      </c>
      <c r="E27">
        <v>538281644022.67999</v>
      </c>
      <c r="F27">
        <v>69169.8</v>
      </c>
      <c r="G27">
        <v>14370379446.110001</v>
      </c>
      <c r="H27">
        <v>10692776</v>
      </c>
      <c r="I27">
        <v>11460550</v>
      </c>
      <c r="J27">
        <v>11726775</v>
      </c>
      <c r="K27">
        <v>55.34</v>
      </c>
      <c r="L27">
        <v>0.74</v>
      </c>
      <c r="M27">
        <v>13</v>
      </c>
      <c r="N27">
        <v>-36.72</v>
      </c>
      <c r="O27">
        <v>134</v>
      </c>
      <c r="P27" t="s">
        <v>27</v>
      </c>
      <c r="Q27" t="s">
        <v>57</v>
      </c>
      <c r="R27" t="s">
        <v>64</v>
      </c>
      <c r="S27">
        <v>2020</v>
      </c>
      <c r="T27" t="s">
        <v>36</v>
      </c>
      <c r="U27">
        <v>33559</v>
      </c>
      <c r="V27">
        <v>33.39</v>
      </c>
      <c r="W27">
        <v>30.54</v>
      </c>
      <c r="X27">
        <v>42.5</v>
      </c>
      <c r="Y27">
        <v>87.19</v>
      </c>
    </row>
    <row r="28" spans="1:25" x14ac:dyDescent="0.3">
      <c r="A28" t="s">
        <v>85</v>
      </c>
      <c r="B28" t="str">
        <f t="shared" si="0"/>
        <v>Sep</v>
      </c>
      <c r="C28" t="s">
        <v>38</v>
      </c>
      <c r="D28" t="s">
        <v>39</v>
      </c>
      <c r="E28">
        <v>244308840597.39999</v>
      </c>
      <c r="F28">
        <v>28221.96</v>
      </c>
      <c r="G28">
        <v>34699801728.57</v>
      </c>
      <c r="H28">
        <v>11536742</v>
      </c>
      <c r="I28">
        <v>12844252</v>
      </c>
      <c r="J28">
        <v>12955716</v>
      </c>
      <c r="K28">
        <v>18.57</v>
      </c>
      <c r="L28">
        <v>-2.63</v>
      </c>
      <c r="M28">
        <v>-2.5</v>
      </c>
      <c r="N28">
        <v>21.32</v>
      </c>
      <c r="O28">
        <v>43</v>
      </c>
      <c r="P28" t="s">
        <v>40</v>
      </c>
      <c r="Q28" t="s">
        <v>47</v>
      </c>
      <c r="R28" t="s">
        <v>29</v>
      </c>
      <c r="S28">
        <v>2014</v>
      </c>
      <c r="T28" t="s">
        <v>36</v>
      </c>
      <c r="U28">
        <v>43401</v>
      </c>
      <c r="V28">
        <v>59.99</v>
      </c>
      <c r="W28">
        <v>86.12</v>
      </c>
      <c r="X28">
        <v>34.11</v>
      </c>
      <c r="Y28">
        <v>66.53</v>
      </c>
    </row>
    <row r="29" spans="1:25" x14ac:dyDescent="0.3">
      <c r="A29" t="s">
        <v>86</v>
      </c>
      <c r="B29" t="str">
        <f t="shared" si="0"/>
        <v>Apr</v>
      </c>
      <c r="C29" t="s">
        <v>78</v>
      </c>
      <c r="D29" t="s">
        <v>79</v>
      </c>
      <c r="E29">
        <v>385349481164.58002</v>
      </c>
      <c r="F29">
        <v>54210.41</v>
      </c>
      <c r="G29">
        <v>41531941308.660004</v>
      </c>
      <c r="H29">
        <v>16360723</v>
      </c>
      <c r="I29">
        <v>16851611</v>
      </c>
      <c r="J29">
        <v>17264649</v>
      </c>
      <c r="K29">
        <v>24.32</v>
      </c>
      <c r="L29">
        <v>1.2</v>
      </c>
      <c r="M29">
        <v>-7.92</v>
      </c>
      <c r="N29">
        <v>17.11</v>
      </c>
      <c r="O29">
        <v>63</v>
      </c>
      <c r="P29" t="s">
        <v>51</v>
      </c>
      <c r="Q29" t="s">
        <v>47</v>
      </c>
      <c r="R29" t="s">
        <v>74</v>
      </c>
      <c r="S29">
        <v>2011</v>
      </c>
      <c r="T29" t="s">
        <v>36</v>
      </c>
      <c r="U29">
        <v>28555</v>
      </c>
      <c r="V29">
        <v>93.95</v>
      </c>
      <c r="W29">
        <v>68.17</v>
      </c>
      <c r="X29">
        <v>56.48</v>
      </c>
      <c r="Y29">
        <v>47.05</v>
      </c>
    </row>
    <row r="30" spans="1:25" x14ac:dyDescent="0.3">
      <c r="A30" t="s">
        <v>87</v>
      </c>
      <c r="B30" t="str">
        <f t="shared" si="0"/>
        <v>Jun</v>
      </c>
      <c r="C30" t="s">
        <v>68</v>
      </c>
      <c r="D30" t="s">
        <v>69</v>
      </c>
      <c r="E30">
        <v>370354461077.96997</v>
      </c>
      <c r="F30">
        <v>65457.82</v>
      </c>
      <c r="G30">
        <v>30241214403.880001</v>
      </c>
      <c r="H30">
        <v>15871122</v>
      </c>
      <c r="I30">
        <v>20770229</v>
      </c>
      <c r="J30">
        <v>21687474</v>
      </c>
      <c r="K30">
        <v>19</v>
      </c>
      <c r="L30">
        <v>-2.1</v>
      </c>
      <c r="M30">
        <v>-18.05</v>
      </c>
      <c r="N30">
        <v>-7.6</v>
      </c>
      <c r="O30">
        <v>179</v>
      </c>
      <c r="P30" t="s">
        <v>51</v>
      </c>
      <c r="Q30" t="s">
        <v>47</v>
      </c>
      <c r="R30" t="s">
        <v>74</v>
      </c>
      <c r="S30">
        <v>2010</v>
      </c>
      <c r="T30" t="s">
        <v>36</v>
      </c>
      <c r="U30">
        <v>15957</v>
      </c>
      <c r="V30">
        <v>59.16</v>
      </c>
      <c r="W30">
        <v>90.95</v>
      </c>
      <c r="X30">
        <v>85.98</v>
      </c>
      <c r="Y30">
        <v>13.82</v>
      </c>
    </row>
    <row r="31" spans="1:25" x14ac:dyDescent="0.3">
      <c r="A31" t="s">
        <v>88</v>
      </c>
      <c r="B31" t="str">
        <f t="shared" si="0"/>
        <v>Mar</v>
      </c>
      <c r="C31" t="s">
        <v>25</v>
      </c>
      <c r="D31" t="s">
        <v>26</v>
      </c>
      <c r="E31">
        <v>828322672572.27002</v>
      </c>
      <c r="F31">
        <v>37315.26</v>
      </c>
      <c r="G31">
        <v>35815860449.639999</v>
      </c>
      <c r="H31">
        <v>9665540</v>
      </c>
      <c r="I31">
        <v>13503378</v>
      </c>
      <c r="J31">
        <v>13776327</v>
      </c>
      <c r="K31">
        <v>42.88</v>
      </c>
      <c r="L31">
        <v>1.51</v>
      </c>
      <c r="M31">
        <v>-2.62</v>
      </c>
      <c r="N31">
        <v>-21.41</v>
      </c>
      <c r="O31">
        <v>15</v>
      </c>
      <c r="P31" t="s">
        <v>27</v>
      </c>
      <c r="Q31" t="s">
        <v>57</v>
      </c>
      <c r="R31" t="s">
        <v>35</v>
      </c>
      <c r="S31">
        <v>2018</v>
      </c>
      <c r="T31" t="s">
        <v>30</v>
      </c>
      <c r="U31">
        <v>54144</v>
      </c>
      <c r="V31">
        <v>52.55</v>
      </c>
      <c r="W31">
        <v>34.340000000000003</v>
      </c>
      <c r="X31">
        <v>43.51</v>
      </c>
      <c r="Y31">
        <v>97.35</v>
      </c>
    </row>
    <row r="32" spans="1:25" x14ac:dyDescent="0.3">
      <c r="A32" t="s">
        <v>87</v>
      </c>
      <c r="B32" t="str">
        <f t="shared" si="0"/>
        <v>Jun</v>
      </c>
      <c r="C32" t="s">
        <v>38</v>
      </c>
      <c r="D32" t="s">
        <v>39</v>
      </c>
      <c r="E32">
        <v>179598852479.62</v>
      </c>
      <c r="F32">
        <v>44342.34</v>
      </c>
      <c r="G32">
        <v>23629557052.860001</v>
      </c>
      <c r="H32">
        <v>10092380</v>
      </c>
      <c r="I32">
        <v>10340506</v>
      </c>
      <c r="J32">
        <v>10949148</v>
      </c>
      <c r="K32">
        <v>12.1</v>
      </c>
      <c r="L32">
        <v>-4.5999999999999996</v>
      </c>
      <c r="M32">
        <v>5.56</v>
      </c>
      <c r="N32">
        <v>-16.64</v>
      </c>
      <c r="O32">
        <v>86</v>
      </c>
      <c r="P32" t="s">
        <v>53</v>
      </c>
      <c r="Q32" t="s">
        <v>41</v>
      </c>
      <c r="R32" t="s">
        <v>29</v>
      </c>
      <c r="S32">
        <v>2011</v>
      </c>
      <c r="T32" t="s">
        <v>36</v>
      </c>
      <c r="U32">
        <v>15829</v>
      </c>
      <c r="V32">
        <v>11.8</v>
      </c>
      <c r="W32">
        <v>72.48</v>
      </c>
      <c r="X32">
        <v>51.2</v>
      </c>
      <c r="Y32">
        <v>63.83</v>
      </c>
    </row>
    <row r="33" spans="1:25" x14ac:dyDescent="0.3">
      <c r="A33" t="s">
        <v>89</v>
      </c>
      <c r="B33" t="str">
        <f t="shared" si="0"/>
        <v>Aug</v>
      </c>
      <c r="C33" t="s">
        <v>90</v>
      </c>
      <c r="D33" t="s">
        <v>91</v>
      </c>
      <c r="E33">
        <v>557986941378.22998</v>
      </c>
      <c r="F33">
        <v>53223.03</v>
      </c>
      <c r="G33">
        <v>29932091756.130001</v>
      </c>
      <c r="H33">
        <v>9080082</v>
      </c>
      <c r="I33">
        <v>11380273</v>
      </c>
      <c r="J33">
        <v>12289027</v>
      </c>
      <c r="K33">
        <v>32.67</v>
      </c>
      <c r="L33">
        <v>0.77</v>
      </c>
      <c r="M33">
        <v>-15.82</v>
      </c>
      <c r="N33">
        <v>-5.9</v>
      </c>
      <c r="O33">
        <v>75</v>
      </c>
      <c r="P33" t="s">
        <v>53</v>
      </c>
      <c r="Q33" t="s">
        <v>41</v>
      </c>
      <c r="R33" t="s">
        <v>29</v>
      </c>
      <c r="S33">
        <v>2021</v>
      </c>
      <c r="T33" t="s">
        <v>30</v>
      </c>
      <c r="U33">
        <v>4940</v>
      </c>
      <c r="V33">
        <v>49.11</v>
      </c>
      <c r="W33">
        <v>24.04</v>
      </c>
      <c r="X33">
        <v>90.46</v>
      </c>
      <c r="Y33">
        <v>82.85</v>
      </c>
    </row>
    <row r="34" spans="1:25" x14ac:dyDescent="0.3">
      <c r="A34" t="s">
        <v>92</v>
      </c>
      <c r="B34" t="str">
        <f t="shared" si="0"/>
        <v>Jan</v>
      </c>
      <c r="C34" t="s">
        <v>68</v>
      </c>
      <c r="D34" t="s">
        <v>69</v>
      </c>
      <c r="E34">
        <v>42920436266.919998</v>
      </c>
      <c r="F34">
        <v>8743.7199999999993</v>
      </c>
      <c r="G34">
        <v>26365921054.669998</v>
      </c>
      <c r="H34">
        <v>1208809</v>
      </c>
      <c r="I34">
        <v>2050503</v>
      </c>
      <c r="J34">
        <v>2302413</v>
      </c>
      <c r="K34">
        <v>36.56</v>
      </c>
      <c r="L34">
        <v>1.45</v>
      </c>
      <c r="M34">
        <v>9.7200000000000006</v>
      </c>
      <c r="N34">
        <v>-8.1999999999999993</v>
      </c>
      <c r="O34">
        <v>41</v>
      </c>
      <c r="P34" t="s">
        <v>53</v>
      </c>
      <c r="Q34" t="s">
        <v>47</v>
      </c>
      <c r="R34" t="s">
        <v>74</v>
      </c>
      <c r="S34">
        <v>2017</v>
      </c>
      <c r="T34" t="s">
        <v>36</v>
      </c>
      <c r="U34">
        <v>27389</v>
      </c>
      <c r="V34">
        <v>79</v>
      </c>
      <c r="W34">
        <v>20.63</v>
      </c>
      <c r="X34">
        <v>59.75</v>
      </c>
      <c r="Y34">
        <v>80.13</v>
      </c>
    </row>
    <row r="35" spans="1:25" x14ac:dyDescent="0.3">
      <c r="A35" t="s">
        <v>93</v>
      </c>
      <c r="B35" t="str">
        <f t="shared" si="0"/>
        <v>Jan</v>
      </c>
      <c r="C35" t="s">
        <v>90</v>
      </c>
      <c r="D35" t="s">
        <v>91</v>
      </c>
      <c r="E35">
        <v>388994200839.96997</v>
      </c>
      <c r="F35">
        <v>8439.69</v>
      </c>
      <c r="G35">
        <v>1552726114.9000001</v>
      </c>
      <c r="H35">
        <v>10783859</v>
      </c>
      <c r="I35">
        <v>14178100</v>
      </c>
      <c r="J35">
        <v>14663843</v>
      </c>
      <c r="K35">
        <v>15.42</v>
      </c>
      <c r="L35">
        <v>3.9</v>
      </c>
      <c r="M35">
        <v>-16.25</v>
      </c>
      <c r="N35">
        <v>32.880000000000003</v>
      </c>
      <c r="O35">
        <v>146</v>
      </c>
      <c r="P35" t="s">
        <v>40</v>
      </c>
      <c r="Q35" t="s">
        <v>41</v>
      </c>
      <c r="R35" t="s">
        <v>35</v>
      </c>
      <c r="S35">
        <v>2013</v>
      </c>
      <c r="T35" t="s">
        <v>30</v>
      </c>
      <c r="U35">
        <v>16271</v>
      </c>
      <c r="V35">
        <v>23.37</v>
      </c>
      <c r="W35">
        <v>70.31</v>
      </c>
      <c r="X35">
        <v>51.46</v>
      </c>
      <c r="Y35">
        <v>49.81</v>
      </c>
    </row>
    <row r="36" spans="1:25" x14ac:dyDescent="0.3">
      <c r="A36" t="s">
        <v>94</v>
      </c>
      <c r="B36" t="str">
        <f t="shared" si="0"/>
        <v>Feb</v>
      </c>
      <c r="C36" t="s">
        <v>32</v>
      </c>
      <c r="D36" t="s">
        <v>33</v>
      </c>
      <c r="E36">
        <v>334065764905.19</v>
      </c>
      <c r="F36">
        <v>21593.119999999999</v>
      </c>
      <c r="G36">
        <v>47443773999.589996</v>
      </c>
      <c r="H36">
        <v>9669087</v>
      </c>
      <c r="I36">
        <v>10963663</v>
      </c>
      <c r="J36">
        <v>11010258</v>
      </c>
      <c r="K36">
        <v>25.71</v>
      </c>
      <c r="L36">
        <v>-2</v>
      </c>
      <c r="M36">
        <v>-0.92</v>
      </c>
      <c r="N36">
        <v>-12.6</v>
      </c>
      <c r="O36">
        <v>168</v>
      </c>
      <c r="P36" t="s">
        <v>53</v>
      </c>
      <c r="Q36" t="s">
        <v>47</v>
      </c>
      <c r="R36" t="s">
        <v>74</v>
      </c>
      <c r="S36">
        <v>2011</v>
      </c>
      <c r="T36" t="s">
        <v>36</v>
      </c>
      <c r="U36">
        <v>24611</v>
      </c>
      <c r="V36">
        <v>27.86</v>
      </c>
      <c r="W36">
        <v>56.48</v>
      </c>
      <c r="X36">
        <v>86.88</v>
      </c>
      <c r="Y36">
        <v>41.19</v>
      </c>
    </row>
    <row r="37" spans="1:25" x14ac:dyDescent="0.3">
      <c r="A37" t="s">
        <v>95</v>
      </c>
      <c r="B37" t="str">
        <f t="shared" si="0"/>
        <v>Mar</v>
      </c>
      <c r="C37" t="s">
        <v>25</v>
      </c>
      <c r="D37" t="s">
        <v>26</v>
      </c>
      <c r="E37">
        <v>778081345902.14001</v>
      </c>
      <c r="F37">
        <v>47164.41</v>
      </c>
      <c r="G37">
        <v>30130552212.509998</v>
      </c>
      <c r="H37">
        <v>16417840</v>
      </c>
      <c r="I37">
        <v>19541056</v>
      </c>
      <c r="J37">
        <v>19728056</v>
      </c>
      <c r="K37">
        <v>34.08</v>
      </c>
      <c r="L37">
        <v>1.1299999999999999</v>
      </c>
      <c r="M37">
        <v>18.170000000000002</v>
      </c>
      <c r="N37">
        <v>13.1</v>
      </c>
      <c r="O37">
        <v>146</v>
      </c>
      <c r="P37" t="s">
        <v>40</v>
      </c>
      <c r="Q37" t="s">
        <v>34</v>
      </c>
      <c r="R37" t="s">
        <v>29</v>
      </c>
      <c r="S37">
        <v>2014</v>
      </c>
      <c r="T37" t="s">
        <v>30</v>
      </c>
      <c r="U37">
        <v>13645</v>
      </c>
      <c r="V37">
        <v>66.12</v>
      </c>
      <c r="W37">
        <v>31.91</v>
      </c>
      <c r="X37">
        <v>73.84</v>
      </c>
      <c r="Y37">
        <v>27.75</v>
      </c>
    </row>
    <row r="38" spans="1:25" x14ac:dyDescent="0.3">
      <c r="A38" t="s">
        <v>96</v>
      </c>
      <c r="B38" t="str">
        <f t="shared" si="0"/>
        <v>Jul</v>
      </c>
      <c r="C38" t="s">
        <v>90</v>
      </c>
      <c r="D38" t="s">
        <v>91</v>
      </c>
      <c r="E38">
        <v>85860755322.880005</v>
      </c>
      <c r="F38">
        <v>23352.75</v>
      </c>
      <c r="G38">
        <v>3867375057.73</v>
      </c>
      <c r="H38">
        <v>8458879</v>
      </c>
      <c r="I38">
        <v>11216418</v>
      </c>
      <c r="J38">
        <v>12156303</v>
      </c>
      <c r="K38">
        <v>55.42</v>
      </c>
      <c r="L38">
        <v>-1.08</v>
      </c>
      <c r="M38">
        <v>18.47</v>
      </c>
      <c r="N38">
        <v>-35.21</v>
      </c>
      <c r="O38">
        <v>44</v>
      </c>
      <c r="P38" t="s">
        <v>46</v>
      </c>
      <c r="Q38" t="s">
        <v>41</v>
      </c>
      <c r="R38" t="s">
        <v>74</v>
      </c>
      <c r="S38">
        <v>2015</v>
      </c>
      <c r="T38" t="s">
        <v>30</v>
      </c>
      <c r="U38">
        <v>53444</v>
      </c>
      <c r="V38">
        <v>53.62</v>
      </c>
      <c r="W38">
        <v>85.35</v>
      </c>
      <c r="X38">
        <v>86.98</v>
      </c>
      <c r="Y38">
        <v>45.83</v>
      </c>
    </row>
    <row r="39" spans="1:25" x14ac:dyDescent="0.3">
      <c r="A39" t="s">
        <v>97</v>
      </c>
      <c r="B39" t="str">
        <f t="shared" si="0"/>
        <v>May</v>
      </c>
      <c r="C39" t="s">
        <v>68</v>
      </c>
      <c r="D39" t="s">
        <v>69</v>
      </c>
      <c r="E39">
        <v>161955912040.31</v>
      </c>
      <c r="F39">
        <v>13163.54</v>
      </c>
      <c r="G39">
        <v>40696735791.050003</v>
      </c>
      <c r="H39">
        <v>6775550</v>
      </c>
      <c r="I39">
        <v>7489094</v>
      </c>
      <c r="J39">
        <v>7509825</v>
      </c>
      <c r="K39">
        <v>2.0299999999999998</v>
      </c>
      <c r="L39">
        <v>3.53</v>
      </c>
      <c r="M39">
        <v>-10.64</v>
      </c>
      <c r="N39">
        <v>-16.079999999999998</v>
      </c>
      <c r="O39">
        <v>22</v>
      </c>
      <c r="P39" t="s">
        <v>53</v>
      </c>
      <c r="Q39" t="s">
        <v>41</v>
      </c>
      <c r="R39" t="s">
        <v>42</v>
      </c>
      <c r="S39">
        <v>2010</v>
      </c>
      <c r="T39" t="s">
        <v>36</v>
      </c>
      <c r="U39">
        <v>59612</v>
      </c>
      <c r="V39">
        <v>49.51</v>
      </c>
      <c r="W39">
        <v>84.36</v>
      </c>
      <c r="X39">
        <v>59.49</v>
      </c>
      <c r="Y39">
        <v>62.03</v>
      </c>
    </row>
    <row r="40" spans="1:25" x14ac:dyDescent="0.3">
      <c r="A40" t="s">
        <v>98</v>
      </c>
      <c r="B40" t="str">
        <f t="shared" si="0"/>
        <v>Aug</v>
      </c>
      <c r="C40" t="s">
        <v>90</v>
      </c>
      <c r="D40" t="s">
        <v>91</v>
      </c>
      <c r="E40">
        <v>458963713155.90002</v>
      </c>
      <c r="F40">
        <v>12014.13</v>
      </c>
      <c r="G40">
        <v>25849757960.73</v>
      </c>
      <c r="H40">
        <v>1265969</v>
      </c>
      <c r="I40">
        <v>6167622</v>
      </c>
      <c r="J40">
        <v>6578938</v>
      </c>
      <c r="K40">
        <v>11.05</v>
      </c>
      <c r="L40">
        <v>-3.45</v>
      </c>
      <c r="M40">
        <v>12.46</v>
      </c>
      <c r="N40">
        <v>38.119999999999997</v>
      </c>
      <c r="O40">
        <v>156</v>
      </c>
      <c r="P40" t="s">
        <v>40</v>
      </c>
      <c r="Q40" t="s">
        <v>57</v>
      </c>
      <c r="R40" t="s">
        <v>42</v>
      </c>
      <c r="S40">
        <v>2012</v>
      </c>
      <c r="T40" t="s">
        <v>30</v>
      </c>
      <c r="U40">
        <v>36424</v>
      </c>
      <c r="V40">
        <v>22.28</v>
      </c>
      <c r="W40">
        <v>92</v>
      </c>
      <c r="X40">
        <v>38.020000000000003</v>
      </c>
      <c r="Y40">
        <v>18.77</v>
      </c>
    </row>
    <row r="41" spans="1:25" x14ac:dyDescent="0.3">
      <c r="A41" t="s">
        <v>99</v>
      </c>
      <c r="B41" t="str">
        <f t="shared" si="0"/>
        <v>Aug</v>
      </c>
      <c r="C41" t="s">
        <v>38</v>
      </c>
      <c r="D41" t="s">
        <v>39</v>
      </c>
      <c r="E41">
        <v>364755035054.14001</v>
      </c>
      <c r="F41">
        <v>396.93</v>
      </c>
      <c r="G41">
        <v>854813423.13999999</v>
      </c>
      <c r="H41">
        <v>18657627</v>
      </c>
      <c r="I41">
        <v>21320523</v>
      </c>
      <c r="J41">
        <v>21692108</v>
      </c>
      <c r="K41">
        <v>31.67</v>
      </c>
      <c r="L41">
        <v>-3.01</v>
      </c>
      <c r="M41">
        <v>-6.3</v>
      </c>
      <c r="N41">
        <v>14.4</v>
      </c>
      <c r="O41">
        <v>42</v>
      </c>
      <c r="P41" t="s">
        <v>27</v>
      </c>
      <c r="Q41" t="s">
        <v>41</v>
      </c>
      <c r="R41" t="s">
        <v>29</v>
      </c>
      <c r="S41">
        <v>2019</v>
      </c>
      <c r="T41" t="s">
        <v>36</v>
      </c>
      <c r="U41">
        <v>50145</v>
      </c>
      <c r="V41">
        <v>91.97</v>
      </c>
      <c r="W41">
        <v>26.17</v>
      </c>
      <c r="X41">
        <v>92.93</v>
      </c>
      <c r="Y41">
        <v>81.680000000000007</v>
      </c>
    </row>
    <row r="42" spans="1:25" x14ac:dyDescent="0.3">
      <c r="A42" t="s">
        <v>37</v>
      </c>
      <c r="B42" t="str">
        <f t="shared" si="0"/>
        <v>Jan</v>
      </c>
      <c r="C42" t="s">
        <v>68</v>
      </c>
      <c r="D42" t="s">
        <v>69</v>
      </c>
      <c r="E42">
        <v>414144869053.76001</v>
      </c>
      <c r="F42">
        <v>34.75</v>
      </c>
      <c r="G42">
        <v>13966996572.41</v>
      </c>
      <c r="H42">
        <v>4666244</v>
      </c>
      <c r="I42">
        <v>9357370</v>
      </c>
      <c r="J42">
        <v>10231483</v>
      </c>
      <c r="K42">
        <v>51.45</v>
      </c>
      <c r="L42">
        <v>4.1500000000000004</v>
      </c>
      <c r="M42">
        <v>-0.86</v>
      </c>
      <c r="N42">
        <v>-28.52</v>
      </c>
      <c r="O42">
        <v>123</v>
      </c>
      <c r="P42" t="s">
        <v>46</v>
      </c>
      <c r="Q42" t="s">
        <v>41</v>
      </c>
      <c r="R42" t="s">
        <v>29</v>
      </c>
      <c r="S42">
        <v>2023</v>
      </c>
      <c r="T42" t="s">
        <v>36</v>
      </c>
      <c r="U42">
        <v>39035</v>
      </c>
      <c r="V42">
        <v>36.229999999999997</v>
      </c>
      <c r="W42">
        <v>61.45</v>
      </c>
      <c r="X42">
        <v>53.88</v>
      </c>
      <c r="Y42">
        <v>34.619999999999997</v>
      </c>
    </row>
    <row r="43" spans="1:25" x14ac:dyDescent="0.3">
      <c r="A43" t="s">
        <v>100</v>
      </c>
      <c r="B43" t="str">
        <f t="shared" si="0"/>
        <v>Jul</v>
      </c>
      <c r="C43" t="s">
        <v>25</v>
      </c>
      <c r="D43" t="s">
        <v>26</v>
      </c>
      <c r="E43">
        <v>551013559525.18994</v>
      </c>
      <c r="F43">
        <v>19050.62</v>
      </c>
      <c r="G43">
        <v>13167520006.629999</v>
      </c>
      <c r="H43">
        <v>8631946</v>
      </c>
      <c r="I43">
        <v>13551061</v>
      </c>
      <c r="J43">
        <v>13660267</v>
      </c>
      <c r="K43">
        <v>44.77</v>
      </c>
      <c r="L43">
        <v>3.35</v>
      </c>
      <c r="M43">
        <v>-8.83</v>
      </c>
      <c r="N43">
        <v>-26.35</v>
      </c>
      <c r="O43">
        <v>10</v>
      </c>
      <c r="P43" t="s">
        <v>27</v>
      </c>
      <c r="Q43" t="s">
        <v>57</v>
      </c>
      <c r="R43" t="s">
        <v>74</v>
      </c>
      <c r="S43">
        <v>2018</v>
      </c>
      <c r="T43" t="s">
        <v>30</v>
      </c>
      <c r="U43">
        <v>4501</v>
      </c>
      <c r="V43">
        <v>15.48</v>
      </c>
      <c r="W43">
        <v>99.28</v>
      </c>
      <c r="X43">
        <v>86.74</v>
      </c>
      <c r="Y43">
        <v>57.1</v>
      </c>
    </row>
    <row r="44" spans="1:25" x14ac:dyDescent="0.3">
      <c r="A44" t="s">
        <v>101</v>
      </c>
      <c r="B44" t="str">
        <f t="shared" si="0"/>
        <v>Jun</v>
      </c>
      <c r="C44" t="s">
        <v>25</v>
      </c>
      <c r="D44" t="s">
        <v>26</v>
      </c>
      <c r="E44">
        <v>281332346122.06</v>
      </c>
      <c r="F44">
        <v>27130.46</v>
      </c>
      <c r="G44">
        <v>79528455.760000005</v>
      </c>
      <c r="H44">
        <v>11243068</v>
      </c>
      <c r="I44">
        <v>15137513</v>
      </c>
      <c r="J44">
        <v>15546291</v>
      </c>
      <c r="K44">
        <v>3.43</v>
      </c>
      <c r="L44">
        <v>-2.35</v>
      </c>
      <c r="M44">
        <v>-3.93</v>
      </c>
      <c r="N44">
        <v>-2.2799999999999998</v>
      </c>
      <c r="O44">
        <v>41</v>
      </c>
      <c r="P44" t="s">
        <v>51</v>
      </c>
      <c r="Q44" t="s">
        <v>34</v>
      </c>
      <c r="R44" t="s">
        <v>64</v>
      </c>
      <c r="S44">
        <v>2023</v>
      </c>
      <c r="T44" t="s">
        <v>30</v>
      </c>
      <c r="U44">
        <v>16489</v>
      </c>
      <c r="V44">
        <v>20.53</v>
      </c>
      <c r="W44">
        <v>79.8</v>
      </c>
      <c r="X44">
        <v>40.69</v>
      </c>
      <c r="Y44">
        <v>74.459999999999994</v>
      </c>
    </row>
    <row r="45" spans="1:25" x14ac:dyDescent="0.3">
      <c r="A45" t="s">
        <v>102</v>
      </c>
      <c r="B45" t="str">
        <f t="shared" si="0"/>
        <v>Oct</v>
      </c>
      <c r="C45" t="s">
        <v>25</v>
      </c>
      <c r="D45" t="s">
        <v>26</v>
      </c>
      <c r="E45">
        <v>606926232478.51001</v>
      </c>
      <c r="F45">
        <v>17938.77</v>
      </c>
      <c r="G45">
        <v>44520017417.290001</v>
      </c>
      <c r="H45">
        <v>5609440</v>
      </c>
      <c r="I45">
        <v>9977562</v>
      </c>
      <c r="J45">
        <v>10351878</v>
      </c>
      <c r="K45">
        <v>41.98</v>
      </c>
      <c r="L45">
        <v>-2.93</v>
      </c>
      <c r="M45">
        <v>-4.1500000000000004</v>
      </c>
      <c r="N45">
        <v>6.25</v>
      </c>
      <c r="O45">
        <v>121</v>
      </c>
      <c r="P45" t="s">
        <v>46</v>
      </c>
      <c r="Q45" t="s">
        <v>47</v>
      </c>
      <c r="R45" t="s">
        <v>42</v>
      </c>
      <c r="S45">
        <v>2013</v>
      </c>
      <c r="T45" t="s">
        <v>30</v>
      </c>
      <c r="U45">
        <v>41954</v>
      </c>
      <c r="V45">
        <v>36.590000000000003</v>
      </c>
      <c r="W45">
        <v>90.2</v>
      </c>
      <c r="X45">
        <v>35.43</v>
      </c>
      <c r="Y45">
        <v>68.069999999999993</v>
      </c>
    </row>
    <row r="46" spans="1:25" x14ac:dyDescent="0.3">
      <c r="A46" t="s">
        <v>103</v>
      </c>
      <c r="B46" t="str">
        <f t="shared" si="0"/>
        <v>Dec</v>
      </c>
      <c r="C46" t="s">
        <v>32</v>
      </c>
      <c r="D46" t="s">
        <v>33</v>
      </c>
      <c r="E46">
        <v>435390419110.65997</v>
      </c>
      <c r="F46">
        <v>63612.23</v>
      </c>
      <c r="G46">
        <v>2715656238.8299999</v>
      </c>
      <c r="H46">
        <v>14259223</v>
      </c>
      <c r="I46">
        <v>14408952</v>
      </c>
      <c r="J46">
        <v>14925557</v>
      </c>
      <c r="K46">
        <v>32.22</v>
      </c>
      <c r="L46">
        <v>-0.44</v>
      </c>
      <c r="M46">
        <v>-5.46</v>
      </c>
      <c r="N46">
        <v>-20.77</v>
      </c>
      <c r="O46">
        <v>132</v>
      </c>
      <c r="P46" t="s">
        <v>51</v>
      </c>
      <c r="Q46" t="s">
        <v>34</v>
      </c>
      <c r="R46" t="s">
        <v>64</v>
      </c>
      <c r="S46">
        <v>2017</v>
      </c>
      <c r="T46" t="s">
        <v>36</v>
      </c>
      <c r="U46">
        <v>32746</v>
      </c>
      <c r="V46">
        <v>83.69</v>
      </c>
      <c r="W46">
        <v>42.88</v>
      </c>
      <c r="X46">
        <v>97.39</v>
      </c>
      <c r="Y46">
        <v>40.130000000000003</v>
      </c>
    </row>
    <row r="47" spans="1:25" x14ac:dyDescent="0.3">
      <c r="A47" t="s">
        <v>104</v>
      </c>
      <c r="B47" t="str">
        <f t="shared" si="0"/>
        <v>Oct</v>
      </c>
      <c r="C47" t="s">
        <v>25</v>
      </c>
      <c r="D47" t="s">
        <v>26</v>
      </c>
      <c r="E47">
        <v>195107071591.39999</v>
      </c>
      <c r="F47">
        <v>57295.31</v>
      </c>
      <c r="G47">
        <v>37853646648.32</v>
      </c>
      <c r="H47">
        <v>9468762</v>
      </c>
      <c r="I47">
        <v>13698465</v>
      </c>
      <c r="J47">
        <v>13942076</v>
      </c>
      <c r="K47">
        <v>34.58</v>
      </c>
      <c r="L47">
        <v>-4.87</v>
      </c>
      <c r="M47">
        <v>-5.9</v>
      </c>
      <c r="N47">
        <v>-20.48</v>
      </c>
      <c r="O47">
        <v>85</v>
      </c>
      <c r="P47" t="s">
        <v>53</v>
      </c>
      <c r="Q47" t="s">
        <v>41</v>
      </c>
      <c r="R47" t="s">
        <v>74</v>
      </c>
      <c r="S47">
        <v>2020</v>
      </c>
      <c r="T47" t="s">
        <v>30</v>
      </c>
      <c r="U47">
        <v>39990</v>
      </c>
      <c r="V47">
        <v>28.88</v>
      </c>
      <c r="W47">
        <v>32.94</v>
      </c>
      <c r="X47">
        <v>75.489999999999995</v>
      </c>
      <c r="Y47">
        <v>66.61</v>
      </c>
    </row>
    <row r="48" spans="1:25" x14ac:dyDescent="0.3">
      <c r="A48" t="s">
        <v>105</v>
      </c>
      <c r="B48" t="str">
        <f t="shared" si="0"/>
        <v>Mar</v>
      </c>
      <c r="C48" t="s">
        <v>25</v>
      </c>
      <c r="D48" t="s">
        <v>26</v>
      </c>
      <c r="E48">
        <v>578318657285.53003</v>
      </c>
      <c r="F48">
        <v>28330.21</v>
      </c>
      <c r="G48">
        <v>38873314183.730003</v>
      </c>
      <c r="H48">
        <v>7705448</v>
      </c>
      <c r="I48">
        <v>11508888</v>
      </c>
      <c r="J48">
        <v>11536191</v>
      </c>
      <c r="K48">
        <v>21.75</v>
      </c>
      <c r="L48">
        <v>4.6100000000000003</v>
      </c>
      <c r="M48">
        <v>10.26</v>
      </c>
      <c r="N48">
        <v>-28.46</v>
      </c>
      <c r="O48">
        <v>77</v>
      </c>
      <c r="P48" t="s">
        <v>27</v>
      </c>
      <c r="Q48" t="s">
        <v>28</v>
      </c>
      <c r="R48" t="s">
        <v>35</v>
      </c>
      <c r="S48">
        <v>2016</v>
      </c>
      <c r="T48" t="s">
        <v>30</v>
      </c>
      <c r="U48">
        <v>38815</v>
      </c>
      <c r="V48">
        <v>44.98</v>
      </c>
      <c r="W48">
        <v>30.13</v>
      </c>
      <c r="X48">
        <v>88.33</v>
      </c>
      <c r="Y48">
        <v>58.56</v>
      </c>
    </row>
    <row r="49" spans="1:25" x14ac:dyDescent="0.3">
      <c r="A49" t="s">
        <v>106</v>
      </c>
      <c r="B49" t="str">
        <f t="shared" si="0"/>
        <v>Nov</v>
      </c>
      <c r="C49" t="s">
        <v>90</v>
      </c>
      <c r="D49" t="s">
        <v>91</v>
      </c>
      <c r="E49">
        <v>195064038611.42001</v>
      </c>
      <c r="F49">
        <v>39893.71</v>
      </c>
      <c r="G49">
        <v>39600212096.830002</v>
      </c>
      <c r="H49">
        <v>1809487</v>
      </c>
      <c r="I49">
        <v>5876254</v>
      </c>
      <c r="J49">
        <v>6197536</v>
      </c>
      <c r="K49">
        <v>2.13</v>
      </c>
      <c r="L49">
        <v>0.33</v>
      </c>
      <c r="M49">
        <v>19.489999999999998</v>
      </c>
      <c r="N49">
        <v>-33.200000000000003</v>
      </c>
      <c r="O49">
        <v>149</v>
      </c>
      <c r="P49" t="s">
        <v>51</v>
      </c>
      <c r="Q49" t="s">
        <v>28</v>
      </c>
      <c r="R49" t="s">
        <v>42</v>
      </c>
      <c r="S49">
        <v>2020</v>
      </c>
      <c r="T49" t="s">
        <v>30</v>
      </c>
      <c r="U49">
        <v>6243</v>
      </c>
      <c r="V49">
        <v>50.16</v>
      </c>
      <c r="W49">
        <v>52.46</v>
      </c>
      <c r="X49">
        <v>68</v>
      </c>
      <c r="Y49">
        <v>19.12</v>
      </c>
    </row>
    <row r="50" spans="1:25" x14ac:dyDescent="0.3">
      <c r="A50" t="s">
        <v>107</v>
      </c>
      <c r="B50" t="str">
        <f t="shared" si="0"/>
        <v>Jan</v>
      </c>
      <c r="C50" t="s">
        <v>90</v>
      </c>
      <c r="D50" t="s">
        <v>91</v>
      </c>
      <c r="E50">
        <v>42976219375.800003</v>
      </c>
      <c r="F50">
        <v>39420.720000000001</v>
      </c>
      <c r="G50">
        <v>14098051737.389999</v>
      </c>
      <c r="H50">
        <v>13078609</v>
      </c>
      <c r="I50">
        <v>14268116</v>
      </c>
      <c r="J50">
        <v>14396824</v>
      </c>
      <c r="K50">
        <v>2.4</v>
      </c>
      <c r="L50">
        <v>0.46</v>
      </c>
      <c r="M50">
        <v>11.86</v>
      </c>
      <c r="N50">
        <v>28.72</v>
      </c>
      <c r="O50">
        <v>79</v>
      </c>
      <c r="P50" t="s">
        <v>53</v>
      </c>
      <c r="Q50" t="s">
        <v>57</v>
      </c>
      <c r="R50" t="s">
        <v>74</v>
      </c>
      <c r="S50">
        <v>2018</v>
      </c>
      <c r="T50" t="s">
        <v>30</v>
      </c>
      <c r="U50">
        <v>50024</v>
      </c>
      <c r="V50">
        <v>51.58</v>
      </c>
      <c r="W50">
        <v>97.95</v>
      </c>
      <c r="X50">
        <v>97.78</v>
      </c>
      <c r="Y50">
        <v>60.52</v>
      </c>
    </row>
    <row r="51" spans="1:25" x14ac:dyDescent="0.3">
      <c r="A51" t="s">
        <v>108</v>
      </c>
      <c r="B51" t="str">
        <f t="shared" si="0"/>
        <v>Jul</v>
      </c>
      <c r="C51" t="s">
        <v>44</v>
      </c>
      <c r="D51" t="s">
        <v>45</v>
      </c>
      <c r="E51">
        <v>806320024385.64001</v>
      </c>
      <c r="F51">
        <v>61243.66</v>
      </c>
      <c r="G51">
        <v>31222923489.580002</v>
      </c>
      <c r="H51">
        <v>17051741</v>
      </c>
      <c r="I51">
        <v>19053860</v>
      </c>
      <c r="J51">
        <v>19331996</v>
      </c>
      <c r="K51">
        <v>9.43</v>
      </c>
      <c r="L51">
        <v>1.03</v>
      </c>
      <c r="M51">
        <v>6.5</v>
      </c>
      <c r="N51">
        <v>10.75</v>
      </c>
      <c r="O51">
        <v>51</v>
      </c>
      <c r="P51" t="s">
        <v>46</v>
      </c>
      <c r="Q51" t="s">
        <v>47</v>
      </c>
      <c r="R51" t="s">
        <v>64</v>
      </c>
      <c r="S51">
        <v>2021</v>
      </c>
      <c r="T51" t="s">
        <v>36</v>
      </c>
      <c r="U51">
        <v>59928</v>
      </c>
      <c r="V51">
        <v>93.19</v>
      </c>
      <c r="W51">
        <v>31.41</v>
      </c>
      <c r="X51">
        <v>54.69</v>
      </c>
      <c r="Y51">
        <v>67.81</v>
      </c>
    </row>
    <row r="52" spans="1:25" x14ac:dyDescent="0.3">
      <c r="A52" t="s">
        <v>109</v>
      </c>
      <c r="B52" t="str">
        <f t="shared" si="0"/>
        <v>Dec</v>
      </c>
      <c r="C52" t="s">
        <v>60</v>
      </c>
      <c r="D52" t="s">
        <v>61</v>
      </c>
      <c r="E52">
        <v>792516824912.18994</v>
      </c>
      <c r="F52">
        <v>4446.84</v>
      </c>
      <c r="G52">
        <v>38407625939.5</v>
      </c>
      <c r="H52">
        <v>7408369</v>
      </c>
      <c r="I52">
        <v>10697807</v>
      </c>
      <c r="J52">
        <v>10871793</v>
      </c>
      <c r="K52">
        <v>50.97</v>
      </c>
      <c r="L52">
        <v>-4.3899999999999997</v>
      </c>
      <c r="M52">
        <v>8.34</v>
      </c>
      <c r="N52">
        <v>-37.409999999999997</v>
      </c>
      <c r="O52">
        <v>133</v>
      </c>
      <c r="P52" t="s">
        <v>46</v>
      </c>
      <c r="Q52" t="s">
        <v>47</v>
      </c>
      <c r="R52" t="s">
        <v>42</v>
      </c>
      <c r="S52">
        <v>2010</v>
      </c>
      <c r="T52" t="s">
        <v>30</v>
      </c>
      <c r="U52">
        <v>2445</v>
      </c>
      <c r="V52">
        <v>89.36</v>
      </c>
      <c r="W52">
        <v>92.98</v>
      </c>
      <c r="X52">
        <v>95.21</v>
      </c>
      <c r="Y52">
        <v>54.02</v>
      </c>
    </row>
    <row r="53" spans="1:25" x14ac:dyDescent="0.3">
      <c r="A53" t="s">
        <v>110</v>
      </c>
      <c r="B53" t="str">
        <f t="shared" si="0"/>
        <v>Aug</v>
      </c>
      <c r="C53" t="s">
        <v>78</v>
      </c>
      <c r="D53" t="s">
        <v>79</v>
      </c>
      <c r="E53">
        <v>345876685968.02002</v>
      </c>
      <c r="F53">
        <v>11597.23</v>
      </c>
      <c r="G53">
        <v>23631451651.209999</v>
      </c>
      <c r="H53">
        <v>2826415</v>
      </c>
      <c r="I53">
        <v>3439056</v>
      </c>
      <c r="J53">
        <v>4143723</v>
      </c>
      <c r="K53">
        <v>40.549999999999997</v>
      </c>
      <c r="L53">
        <v>0.98</v>
      </c>
      <c r="M53">
        <v>14.77</v>
      </c>
      <c r="N53">
        <v>-37.479999999999997</v>
      </c>
      <c r="O53">
        <v>111</v>
      </c>
      <c r="P53" t="s">
        <v>53</v>
      </c>
      <c r="Q53" t="s">
        <v>34</v>
      </c>
      <c r="R53" t="s">
        <v>74</v>
      </c>
      <c r="S53">
        <v>2022</v>
      </c>
      <c r="T53" t="s">
        <v>36</v>
      </c>
      <c r="U53">
        <v>49744</v>
      </c>
      <c r="V53">
        <v>26.77</v>
      </c>
      <c r="W53">
        <v>81.06</v>
      </c>
      <c r="X53">
        <v>93.16</v>
      </c>
      <c r="Y53">
        <v>83.46</v>
      </c>
    </row>
    <row r="54" spans="1:25" x14ac:dyDescent="0.3">
      <c r="A54" t="s">
        <v>104</v>
      </c>
      <c r="B54" t="str">
        <f t="shared" si="0"/>
        <v>Oct</v>
      </c>
      <c r="C54" t="s">
        <v>90</v>
      </c>
      <c r="D54" t="s">
        <v>91</v>
      </c>
      <c r="E54">
        <v>326719576776.42999</v>
      </c>
      <c r="F54">
        <v>47584.25</v>
      </c>
      <c r="G54">
        <v>34151257978.52</v>
      </c>
      <c r="H54">
        <v>2842899</v>
      </c>
      <c r="I54">
        <v>7452519</v>
      </c>
      <c r="J54">
        <v>8039859</v>
      </c>
      <c r="K54">
        <v>1.95</v>
      </c>
      <c r="L54">
        <v>3.88</v>
      </c>
      <c r="M54">
        <v>-5.4</v>
      </c>
      <c r="N54">
        <v>13.08</v>
      </c>
      <c r="O54">
        <v>10</v>
      </c>
      <c r="P54" t="s">
        <v>51</v>
      </c>
      <c r="Q54" t="s">
        <v>47</v>
      </c>
      <c r="R54" t="s">
        <v>29</v>
      </c>
      <c r="S54">
        <v>2010</v>
      </c>
      <c r="T54" t="s">
        <v>30</v>
      </c>
      <c r="U54">
        <v>21440</v>
      </c>
      <c r="V54">
        <v>73.5</v>
      </c>
      <c r="W54">
        <v>44.54</v>
      </c>
      <c r="X54">
        <v>44.34</v>
      </c>
      <c r="Y54">
        <v>42.6</v>
      </c>
    </row>
    <row r="55" spans="1:25" x14ac:dyDescent="0.3">
      <c r="A55" t="s">
        <v>95</v>
      </c>
      <c r="B55" t="str">
        <f t="shared" si="0"/>
        <v>Mar</v>
      </c>
      <c r="C55" t="s">
        <v>44</v>
      </c>
      <c r="D55" t="s">
        <v>45</v>
      </c>
      <c r="E55">
        <v>14915461599.67</v>
      </c>
      <c r="F55">
        <v>37367.4</v>
      </c>
      <c r="G55">
        <v>812957591.24000001</v>
      </c>
      <c r="H55">
        <v>14171042</v>
      </c>
      <c r="I55">
        <v>17135003</v>
      </c>
      <c r="J55">
        <v>18029996</v>
      </c>
      <c r="K55">
        <v>13.89</v>
      </c>
      <c r="L55">
        <v>3.43</v>
      </c>
      <c r="M55">
        <v>-6.84</v>
      </c>
      <c r="N55">
        <v>-27.64</v>
      </c>
      <c r="O55">
        <v>25</v>
      </c>
      <c r="P55" t="s">
        <v>27</v>
      </c>
      <c r="Q55" t="s">
        <v>41</v>
      </c>
      <c r="R55" t="s">
        <v>35</v>
      </c>
      <c r="S55">
        <v>2011</v>
      </c>
      <c r="T55" t="s">
        <v>36</v>
      </c>
      <c r="U55">
        <v>54618</v>
      </c>
      <c r="V55">
        <v>22.42</v>
      </c>
      <c r="W55">
        <v>75.540000000000006</v>
      </c>
      <c r="X55">
        <v>84.97</v>
      </c>
      <c r="Y55">
        <v>97.78</v>
      </c>
    </row>
    <row r="56" spans="1:25" x14ac:dyDescent="0.3">
      <c r="A56" t="s">
        <v>111</v>
      </c>
      <c r="B56" t="str">
        <f t="shared" si="0"/>
        <v>Feb</v>
      </c>
      <c r="C56" t="s">
        <v>60</v>
      </c>
      <c r="D56" t="s">
        <v>61</v>
      </c>
      <c r="E56">
        <v>520984123388.10999</v>
      </c>
      <c r="F56">
        <v>32986.76</v>
      </c>
      <c r="G56">
        <v>21090168834.18</v>
      </c>
      <c r="H56">
        <v>2006315</v>
      </c>
      <c r="I56">
        <v>2148051</v>
      </c>
      <c r="J56">
        <v>2869162</v>
      </c>
      <c r="K56">
        <v>3.71</v>
      </c>
      <c r="L56">
        <v>-2.87</v>
      </c>
      <c r="M56">
        <v>6.65</v>
      </c>
      <c r="N56">
        <v>14.47</v>
      </c>
      <c r="O56">
        <v>99</v>
      </c>
      <c r="P56" t="s">
        <v>40</v>
      </c>
      <c r="Q56" t="s">
        <v>28</v>
      </c>
      <c r="R56" t="s">
        <v>35</v>
      </c>
      <c r="S56">
        <v>2011</v>
      </c>
      <c r="T56" t="s">
        <v>30</v>
      </c>
      <c r="U56">
        <v>10082</v>
      </c>
      <c r="V56">
        <v>31.94</v>
      </c>
      <c r="W56">
        <v>89.89</v>
      </c>
      <c r="X56">
        <v>93.75</v>
      </c>
      <c r="Y56">
        <v>13.31</v>
      </c>
    </row>
    <row r="57" spans="1:25" x14ac:dyDescent="0.3">
      <c r="A57" t="s">
        <v>31</v>
      </c>
      <c r="B57" t="str">
        <f t="shared" si="0"/>
        <v>Feb</v>
      </c>
      <c r="C57" t="s">
        <v>38</v>
      </c>
      <c r="D57" t="s">
        <v>39</v>
      </c>
      <c r="E57">
        <v>598113692690.79004</v>
      </c>
      <c r="F57">
        <v>13051.01</v>
      </c>
      <c r="G57">
        <v>5254227603.6199999</v>
      </c>
      <c r="H57">
        <v>14487437</v>
      </c>
      <c r="I57">
        <v>15803666</v>
      </c>
      <c r="J57">
        <v>15945695</v>
      </c>
      <c r="K57">
        <v>13.47</v>
      </c>
      <c r="L57">
        <v>1.04</v>
      </c>
      <c r="M57">
        <v>19.510000000000002</v>
      </c>
      <c r="N57">
        <v>19.84</v>
      </c>
      <c r="O57">
        <v>157</v>
      </c>
      <c r="P57" t="s">
        <v>46</v>
      </c>
      <c r="Q57" t="s">
        <v>41</v>
      </c>
      <c r="R57" t="s">
        <v>64</v>
      </c>
      <c r="S57">
        <v>2021</v>
      </c>
      <c r="T57" t="s">
        <v>36</v>
      </c>
      <c r="U57">
        <v>55984</v>
      </c>
      <c r="V57">
        <v>42.76</v>
      </c>
      <c r="W57">
        <v>92.35</v>
      </c>
      <c r="X57">
        <v>60.94</v>
      </c>
      <c r="Y57">
        <v>25.32</v>
      </c>
    </row>
    <row r="58" spans="1:25" x14ac:dyDescent="0.3">
      <c r="A58" t="s">
        <v>81</v>
      </c>
      <c r="B58" t="str">
        <f t="shared" si="0"/>
        <v>Feb</v>
      </c>
      <c r="C58" t="s">
        <v>44</v>
      </c>
      <c r="D58" t="s">
        <v>45</v>
      </c>
      <c r="E58">
        <v>856438885237.65002</v>
      </c>
      <c r="F58">
        <v>38071.699999999997</v>
      </c>
      <c r="G58">
        <v>3859811172.02</v>
      </c>
      <c r="H58">
        <v>16965039</v>
      </c>
      <c r="I58">
        <v>20725158</v>
      </c>
      <c r="J58">
        <v>20990163</v>
      </c>
      <c r="K58">
        <v>59.17</v>
      </c>
      <c r="L58">
        <v>-1.48</v>
      </c>
      <c r="M58">
        <v>-4.03</v>
      </c>
      <c r="N58">
        <v>-29.21</v>
      </c>
      <c r="O58">
        <v>83</v>
      </c>
      <c r="P58" t="s">
        <v>40</v>
      </c>
      <c r="Q58" t="s">
        <v>47</v>
      </c>
      <c r="R58" t="s">
        <v>35</v>
      </c>
      <c r="S58">
        <v>2018</v>
      </c>
      <c r="T58" t="s">
        <v>36</v>
      </c>
      <c r="U58">
        <v>54974</v>
      </c>
      <c r="V58">
        <v>80.69</v>
      </c>
      <c r="W58">
        <v>83.41</v>
      </c>
      <c r="X58">
        <v>30.41</v>
      </c>
      <c r="Y58">
        <v>16.600000000000001</v>
      </c>
    </row>
    <row r="59" spans="1:25" x14ac:dyDescent="0.3">
      <c r="A59" t="s">
        <v>112</v>
      </c>
      <c r="B59" t="str">
        <f t="shared" si="0"/>
        <v>Feb</v>
      </c>
      <c r="C59" t="s">
        <v>78</v>
      </c>
      <c r="D59" t="s">
        <v>79</v>
      </c>
      <c r="E59">
        <v>495591387574.52002</v>
      </c>
      <c r="F59">
        <v>43722.9</v>
      </c>
      <c r="G59">
        <v>10037259009.83</v>
      </c>
      <c r="H59">
        <v>8221155</v>
      </c>
      <c r="I59">
        <v>8396951</v>
      </c>
      <c r="J59">
        <v>8775966</v>
      </c>
      <c r="K59">
        <v>14.79</v>
      </c>
      <c r="L59">
        <v>-3.56</v>
      </c>
      <c r="M59">
        <v>19.649999999999999</v>
      </c>
      <c r="N59">
        <v>36.729999999999997</v>
      </c>
      <c r="O59">
        <v>116</v>
      </c>
      <c r="P59" t="s">
        <v>51</v>
      </c>
      <c r="Q59" t="s">
        <v>41</v>
      </c>
      <c r="R59" t="s">
        <v>35</v>
      </c>
      <c r="S59">
        <v>2013</v>
      </c>
      <c r="T59" t="s">
        <v>36</v>
      </c>
      <c r="U59">
        <v>14782</v>
      </c>
      <c r="V59">
        <v>63.15</v>
      </c>
      <c r="W59">
        <v>27.13</v>
      </c>
      <c r="X59">
        <v>39</v>
      </c>
      <c r="Y59">
        <v>59.69</v>
      </c>
    </row>
    <row r="60" spans="1:25" x14ac:dyDescent="0.3">
      <c r="A60" t="s">
        <v>113</v>
      </c>
      <c r="B60" t="str">
        <f t="shared" si="0"/>
        <v>Mar</v>
      </c>
      <c r="C60" t="s">
        <v>55</v>
      </c>
      <c r="D60" t="s">
        <v>56</v>
      </c>
      <c r="E60">
        <v>514979488369.59998</v>
      </c>
      <c r="F60">
        <v>39045.870000000003</v>
      </c>
      <c r="G60">
        <v>33216713045.470001</v>
      </c>
      <c r="H60">
        <v>16195038</v>
      </c>
      <c r="I60">
        <v>16372582</v>
      </c>
      <c r="J60">
        <v>16455751</v>
      </c>
      <c r="K60">
        <v>38.04</v>
      </c>
      <c r="L60">
        <v>-3.04</v>
      </c>
      <c r="M60">
        <v>-10.52</v>
      </c>
      <c r="N60">
        <v>33.479999999999997</v>
      </c>
      <c r="O60">
        <v>101</v>
      </c>
      <c r="P60" t="s">
        <v>51</v>
      </c>
      <c r="Q60" t="s">
        <v>41</v>
      </c>
      <c r="R60" t="s">
        <v>64</v>
      </c>
      <c r="S60">
        <v>2012</v>
      </c>
      <c r="T60" t="s">
        <v>58</v>
      </c>
      <c r="U60">
        <v>29371</v>
      </c>
      <c r="V60">
        <v>25.73</v>
      </c>
      <c r="W60">
        <v>86.86</v>
      </c>
      <c r="X60">
        <v>15.34</v>
      </c>
      <c r="Y60">
        <v>13.34</v>
      </c>
    </row>
    <row r="61" spans="1:25" x14ac:dyDescent="0.3">
      <c r="A61" t="s">
        <v>114</v>
      </c>
      <c r="B61" t="str">
        <f t="shared" si="0"/>
        <v>Jan</v>
      </c>
      <c r="C61" t="s">
        <v>32</v>
      </c>
      <c r="D61" t="s">
        <v>33</v>
      </c>
      <c r="E61">
        <v>255351567918.76001</v>
      </c>
      <c r="F61">
        <v>1173.08</v>
      </c>
      <c r="G61">
        <v>46913830169.290001</v>
      </c>
      <c r="H61">
        <v>9887895</v>
      </c>
      <c r="I61">
        <v>10560208</v>
      </c>
      <c r="J61">
        <v>10677360</v>
      </c>
      <c r="K61">
        <v>49.51</v>
      </c>
      <c r="L61">
        <v>-1.53</v>
      </c>
      <c r="M61">
        <v>-11.03</v>
      </c>
      <c r="N61">
        <v>-27.68</v>
      </c>
      <c r="O61">
        <v>23</v>
      </c>
      <c r="P61" t="s">
        <v>53</v>
      </c>
      <c r="Q61" t="s">
        <v>34</v>
      </c>
      <c r="R61" t="s">
        <v>29</v>
      </c>
      <c r="S61">
        <v>2015</v>
      </c>
      <c r="T61" t="s">
        <v>36</v>
      </c>
      <c r="U61">
        <v>54870</v>
      </c>
      <c r="V61">
        <v>85.38</v>
      </c>
      <c r="W61">
        <v>21.2</v>
      </c>
      <c r="X61">
        <v>97.27</v>
      </c>
      <c r="Y61">
        <v>30.46</v>
      </c>
    </row>
    <row r="62" spans="1:25" x14ac:dyDescent="0.3">
      <c r="A62" t="s">
        <v>115</v>
      </c>
      <c r="B62" t="str">
        <f t="shared" si="0"/>
        <v>May</v>
      </c>
      <c r="C62" t="s">
        <v>78</v>
      </c>
      <c r="D62" t="s">
        <v>79</v>
      </c>
      <c r="E62">
        <v>881532404134.66003</v>
      </c>
      <c r="F62">
        <v>35269.4</v>
      </c>
      <c r="G62">
        <v>23454659084.049999</v>
      </c>
      <c r="H62">
        <v>9991285</v>
      </c>
      <c r="I62">
        <v>11763056</v>
      </c>
      <c r="J62">
        <v>12207815</v>
      </c>
      <c r="K62">
        <v>22.03</v>
      </c>
      <c r="L62">
        <v>2.46</v>
      </c>
      <c r="M62">
        <v>-8.85</v>
      </c>
      <c r="N62">
        <v>-32.17</v>
      </c>
      <c r="O62">
        <v>77</v>
      </c>
      <c r="P62" t="s">
        <v>40</v>
      </c>
      <c r="Q62" t="s">
        <v>34</v>
      </c>
      <c r="R62" t="s">
        <v>64</v>
      </c>
      <c r="S62">
        <v>2013</v>
      </c>
      <c r="T62" t="s">
        <v>36</v>
      </c>
      <c r="U62">
        <v>26157</v>
      </c>
      <c r="V62">
        <v>71.760000000000005</v>
      </c>
      <c r="W62">
        <v>58.16</v>
      </c>
      <c r="X62">
        <v>28.54</v>
      </c>
      <c r="Y62">
        <v>55.86</v>
      </c>
    </row>
    <row r="63" spans="1:25" x14ac:dyDescent="0.3">
      <c r="A63" t="s">
        <v>116</v>
      </c>
      <c r="B63" t="str">
        <f t="shared" si="0"/>
        <v>Feb</v>
      </c>
      <c r="C63" t="s">
        <v>60</v>
      </c>
      <c r="D63" t="s">
        <v>61</v>
      </c>
      <c r="E63">
        <v>212369555257.57001</v>
      </c>
      <c r="F63">
        <v>67876.92</v>
      </c>
      <c r="G63">
        <v>4348616689.5900002</v>
      </c>
      <c r="H63">
        <v>7542272</v>
      </c>
      <c r="I63">
        <v>7658521</v>
      </c>
      <c r="J63">
        <v>8606117</v>
      </c>
      <c r="K63">
        <v>30.2</v>
      </c>
      <c r="L63">
        <v>2.81</v>
      </c>
      <c r="M63">
        <v>-17.78</v>
      </c>
      <c r="N63">
        <v>-14.64</v>
      </c>
      <c r="O63">
        <v>80</v>
      </c>
      <c r="P63" t="s">
        <v>40</v>
      </c>
      <c r="Q63" t="s">
        <v>57</v>
      </c>
      <c r="R63" t="s">
        <v>42</v>
      </c>
      <c r="S63">
        <v>2011</v>
      </c>
      <c r="T63" t="s">
        <v>30</v>
      </c>
      <c r="U63">
        <v>37493</v>
      </c>
      <c r="V63">
        <v>64.59</v>
      </c>
      <c r="W63">
        <v>46.86</v>
      </c>
      <c r="X63">
        <v>29.31</v>
      </c>
      <c r="Y63">
        <v>98.33</v>
      </c>
    </row>
    <row r="64" spans="1:25" x14ac:dyDescent="0.3">
      <c r="A64" t="s">
        <v>117</v>
      </c>
      <c r="B64" t="str">
        <f t="shared" si="0"/>
        <v>Apr</v>
      </c>
      <c r="C64" t="s">
        <v>90</v>
      </c>
      <c r="D64" t="s">
        <v>91</v>
      </c>
      <c r="E64">
        <v>180459941944.94</v>
      </c>
      <c r="F64">
        <v>56244.86</v>
      </c>
      <c r="G64">
        <v>6228432006.9200001</v>
      </c>
      <c r="H64">
        <v>18305835</v>
      </c>
      <c r="I64">
        <v>19185723</v>
      </c>
      <c r="J64">
        <v>19717136</v>
      </c>
      <c r="K64">
        <v>20.53</v>
      </c>
      <c r="L64">
        <v>1.96</v>
      </c>
      <c r="M64">
        <v>-15.64</v>
      </c>
      <c r="N64">
        <v>11.2</v>
      </c>
      <c r="O64">
        <v>111</v>
      </c>
      <c r="P64" t="s">
        <v>51</v>
      </c>
      <c r="Q64" t="s">
        <v>28</v>
      </c>
      <c r="R64" t="s">
        <v>35</v>
      </c>
      <c r="S64">
        <v>2023</v>
      </c>
      <c r="T64" t="s">
        <v>30</v>
      </c>
      <c r="U64">
        <v>63827</v>
      </c>
      <c r="V64">
        <v>89.87</v>
      </c>
      <c r="W64">
        <v>92.51</v>
      </c>
      <c r="X64">
        <v>78.489999999999995</v>
      </c>
      <c r="Y64">
        <v>89.69</v>
      </c>
    </row>
    <row r="65" spans="1:25" x14ac:dyDescent="0.3">
      <c r="A65" t="s">
        <v>118</v>
      </c>
      <c r="B65" t="str">
        <f t="shared" si="0"/>
        <v>Nov</v>
      </c>
      <c r="C65" t="s">
        <v>68</v>
      </c>
      <c r="D65" t="s">
        <v>69</v>
      </c>
      <c r="E65">
        <v>186262863097.98001</v>
      </c>
      <c r="F65">
        <v>46545.95</v>
      </c>
      <c r="G65">
        <v>21594975487.040001</v>
      </c>
      <c r="H65">
        <v>12573360</v>
      </c>
      <c r="I65">
        <v>17003129</v>
      </c>
      <c r="J65">
        <v>17837325</v>
      </c>
      <c r="K65">
        <v>49.68</v>
      </c>
      <c r="L65">
        <v>3.26</v>
      </c>
      <c r="M65">
        <v>-1.6</v>
      </c>
      <c r="N65">
        <v>-8.17</v>
      </c>
      <c r="O65">
        <v>6</v>
      </c>
      <c r="P65" t="s">
        <v>53</v>
      </c>
      <c r="Q65" t="s">
        <v>47</v>
      </c>
      <c r="R65" t="s">
        <v>29</v>
      </c>
      <c r="S65">
        <v>2014</v>
      </c>
      <c r="T65" t="s">
        <v>36</v>
      </c>
      <c r="U65">
        <v>12055</v>
      </c>
      <c r="V65">
        <v>28.73</v>
      </c>
      <c r="W65">
        <v>25.84</v>
      </c>
      <c r="X65">
        <v>11.87</v>
      </c>
      <c r="Y65">
        <v>63.59</v>
      </c>
    </row>
    <row r="66" spans="1:25" x14ac:dyDescent="0.3">
      <c r="A66" t="s">
        <v>119</v>
      </c>
      <c r="B66" t="str">
        <f t="shared" ref="B66:B129" si="1">TEXT(A66,"MMM")</f>
        <v>May</v>
      </c>
      <c r="C66" t="s">
        <v>44</v>
      </c>
      <c r="D66" t="s">
        <v>45</v>
      </c>
      <c r="E66">
        <v>372562278948.5</v>
      </c>
      <c r="F66">
        <v>31759.88</v>
      </c>
      <c r="G66">
        <v>78360976.450000003</v>
      </c>
      <c r="H66">
        <v>5797465</v>
      </c>
      <c r="I66">
        <v>10508427</v>
      </c>
      <c r="J66">
        <v>11146745</v>
      </c>
      <c r="K66">
        <v>24.97</v>
      </c>
      <c r="L66">
        <v>3.72</v>
      </c>
      <c r="M66">
        <v>4.26</v>
      </c>
      <c r="N66">
        <v>-5.54</v>
      </c>
      <c r="O66">
        <v>47</v>
      </c>
      <c r="P66" t="s">
        <v>40</v>
      </c>
      <c r="Q66" t="s">
        <v>47</v>
      </c>
      <c r="R66" t="s">
        <v>42</v>
      </c>
      <c r="S66">
        <v>2012</v>
      </c>
      <c r="T66" t="s">
        <v>36</v>
      </c>
      <c r="U66">
        <v>30629</v>
      </c>
      <c r="V66">
        <v>27.45</v>
      </c>
      <c r="W66">
        <v>64.17</v>
      </c>
      <c r="X66">
        <v>77.290000000000006</v>
      </c>
      <c r="Y66">
        <v>40.5</v>
      </c>
    </row>
    <row r="67" spans="1:25" x14ac:dyDescent="0.3">
      <c r="A67" t="s">
        <v>120</v>
      </c>
      <c r="B67" t="str">
        <f t="shared" si="1"/>
        <v>Feb</v>
      </c>
      <c r="C67" t="s">
        <v>55</v>
      </c>
      <c r="D67" t="s">
        <v>56</v>
      </c>
      <c r="E67">
        <v>750212072925.68994</v>
      </c>
      <c r="F67">
        <v>50373.11</v>
      </c>
      <c r="G67">
        <v>5608238358.7399998</v>
      </c>
      <c r="H67">
        <v>10358809</v>
      </c>
      <c r="I67">
        <v>13368904</v>
      </c>
      <c r="J67">
        <v>13923036</v>
      </c>
      <c r="K67">
        <v>26.21</v>
      </c>
      <c r="L67">
        <v>-1.26</v>
      </c>
      <c r="M67">
        <v>11.3</v>
      </c>
      <c r="N67">
        <v>8.85</v>
      </c>
      <c r="O67">
        <v>51</v>
      </c>
      <c r="P67" t="s">
        <v>46</v>
      </c>
      <c r="Q67" t="s">
        <v>47</v>
      </c>
      <c r="R67" t="s">
        <v>35</v>
      </c>
      <c r="S67">
        <v>2013</v>
      </c>
      <c r="T67" t="s">
        <v>58</v>
      </c>
      <c r="U67">
        <v>23079</v>
      </c>
      <c r="V67">
        <v>26.85</v>
      </c>
      <c r="W67">
        <v>94.33</v>
      </c>
      <c r="X67">
        <v>33.46</v>
      </c>
      <c r="Y67">
        <v>22.7</v>
      </c>
    </row>
    <row r="68" spans="1:25" x14ac:dyDescent="0.3">
      <c r="A68" t="s">
        <v>121</v>
      </c>
      <c r="B68" t="str">
        <f t="shared" si="1"/>
        <v>Mar</v>
      </c>
      <c r="C68" t="s">
        <v>49</v>
      </c>
      <c r="D68" t="s">
        <v>50</v>
      </c>
      <c r="E68">
        <v>335895230522.39001</v>
      </c>
      <c r="F68">
        <v>44652.36</v>
      </c>
      <c r="G68">
        <v>16897260783.9</v>
      </c>
      <c r="H68">
        <v>4889417</v>
      </c>
      <c r="I68">
        <v>5229714</v>
      </c>
      <c r="J68">
        <v>5786756</v>
      </c>
      <c r="K68">
        <v>44.56</v>
      </c>
      <c r="L68">
        <v>2.91</v>
      </c>
      <c r="M68">
        <v>-0.7</v>
      </c>
      <c r="N68">
        <v>-13.12</v>
      </c>
      <c r="O68">
        <v>176</v>
      </c>
      <c r="P68" t="s">
        <v>46</v>
      </c>
      <c r="Q68" t="s">
        <v>34</v>
      </c>
      <c r="R68" t="s">
        <v>64</v>
      </c>
      <c r="S68">
        <v>2014</v>
      </c>
      <c r="T68" t="s">
        <v>36</v>
      </c>
      <c r="U68">
        <v>11625</v>
      </c>
      <c r="V68">
        <v>18.399999999999999</v>
      </c>
      <c r="W68">
        <v>50.83</v>
      </c>
      <c r="X68">
        <v>96.82</v>
      </c>
      <c r="Y68">
        <v>24.98</v>
      </c>
    </row>
    <row r="69" spans="1:25" x14ac:dyDescent="0.3">
      <c r="A69" t="s">
        <v>122</v>
      </c>
      <c r="B69" t="str">
        <f t="shared" si="1"/>
        <v>Jul</v>
      </c>
      <c r="C69" t="s">
        <v>78</v>
      </c>
      <c r="D69" t="s">
        <v>79</v>
      </c>
      <c r="E69">
        <v>548020015739.03003</v>
      </c>
      <c r="F69">
        <v>49020</v>
      </c>
      <c r="G69">
        <v>28683129564.77</v>
      </c>
      <c r="H69">
        <v>8201159</v>
      </c>
      <c r="I69">
        <v>12619796</v>
      </c>
      <c r="J69">
        <v>13112724</v>
      </c>
      <c r="K69">
        <v>12.41</v>
      </c>
      <c r="L69">
        <v>2.98</v>
      </c>
      <c r="M69">
        <v>16</v>
      </c>
      <c r="N69">
        <v>-8.6</v>
      </c>
      <c r="O69">
        <v>119</v>
      </c>
      <c r="P69" t="s">
        <v>51</v>
      </c>
      <c r="Q69" t="s">
        <v>57</v>
      </c>
      <c r="R69" t="s">
        <v>29</v>
      </c>
      <c r="S69">
        <v>2018</v>
      </c>
      <c r="T69" t="s">
        <v>36</v>
      </c>
      <c r="U69">
        <v>33487</v>
      </c>
      <c r="V69">
        <v>11.18</v>
      </c>
      <c r="W69">
        <v>86.93</v>
      </c>
      <c r="X69">
        <v>56.04</v>
      </c>
      <c r="Y69">
        <v>40.82</v>
      </c>
    </row>
    <row r="70" spans="1:25" x14ac:dyDescent="0.3">
      <c r="A70" t="s">
        <v>123</v>
      </c>
      <c r="B70" t="str">
        <f t="shared" si="1"/>
        <v>Jul</v>
      </c>
      <c r="C70" t="s">
        <v>55</v>
      </c>
      <c r="D70" t="s">
        <v>56</v>
      </c>
      <c r="E70">
        <v>38214515681.900002</v>
      </c>
      <c r="F70">
        <v>43588.73</v>
      </c>
      <c r="G70">
        <v>10488876905.67</v>
      </c>
      <c r="H70">
        <v>17652691</v>
      </c>
      <c r="I70">
        <v>21629365</v>
      </c>
      <c r="J70">
        <v>22106854</v>
      </c>
      <c r="K70">
        <v>9.3699999999999992</v>
      </c>
      <c r="L70">
        <v>-2.82</v>
      </c>
      <c r="M70">
        <v>16.59</v>
      </c>
      <c r="N70">
        <v>25.03</v>
      </c>
      <c r="O70">
        <v>144</v>
      </c>
      <c r="P70" t="s">
        <v>51</v>
      </c>
      <c r="Q70" t="s">
        <v>47</v>
      </c>
      <c r="R70" t="s">
        <v>64</v>
      </c>
      <c r="S70">
        <v>2020</v>
      </c>
      <c r="T70" t="s">
        <v>58</v>
      </c>
      <c r="U70">
        <v>44351</v>
      </c>
      <c r="V70">
        <v>22.51</v>
      </c>
      <c r="W70">
        <v>89.05</v>
      </c>
      <c r="X70">
        <v>14.81</v>
      </c>
      <c r="Y70">
        <v>20.97</v>
      </c>
    </row>
    <row r="71" spans="1:25" x14ac:dyDescent="0.3">
      <c r="A71" t="s">
        <v>124</v>
      </c>
      <c r="B71" t="str">
        <f t="shared" si="1"/>
        <v>Sep</v>
      </c>
      <c r="C71" t="s">
        <v>55</v>
      </c>
      <c r="D71" t="s">
        <v>56</v>
      </c>
      <c r="E71">
        <v>750749092133.25</v>
      </c>
      <c r="F71">
        <v>13171.54</v>
      </c>
      <c r="G71">
        <v>2690595287.5700002</v>
      </c>
      <c r="H71">
        <v>13274610</v>
      </c>
      <c r="I71">
        <v>14935385</v>
      </c>
      <c r="J71">
        <v>15919570</v>
      </c>
      <c r="K71">
        <v>57.92</v>
      </c>
      <c r="L71">
        <v>-3.77</v>
      </c>
      <c r="M71">
        <v>19.77</v>
      </c>
      <c r="N71">
        <v>18.03</v>
      </c>
      <c r="O71">
        <v>150</v>
      </c>
      <c r="P71" t="s">
        <v>40</v>
      </c>
      <c r="Q71" t="s">
        <v>34</v>
      </c>
      <c r="R71" t="s">
        <v>29</v>
      </c>
      <c r="S71">
        <v>2021</v>
      </c>
      <c r="T71" t="s">
        <v>58</v>
      </c>
      <c r="U71">
        <v>59721</v>
      </c>
      <c r="V71">
        <v>31.17</v>
      </c>
      <c r="W71">
        <v>63.55</v>
      </c>
      <c r="X71">
        <v>36.520000000000003</v>
      </c>
      <c r="Y71">
        <v>76.33</v>
      </c>
    </row>
    <row r="72" spans="1:25" x14ac:dyDescent="0.3">
      <c r="A72" t="s">
        <v>125</v>
      </c>
      <c r="B72" t="str">
        <f t="shared" si="1"/>
        <v>Mar</v>
      </c>
      <c r="C72" t="s">
        <v>25</v>
      </c>
      <c r="D72" t="s">
        <v>26</v>
      </c>
      <c r="E72">
        <v>694644721322.31006</v>
      </c>
      <c r="F72">
        <v>45257.75</v>
      </c>
      <c r="G72">
        <v>26203937434.130001</v>
      </c>
      <c r="H72">
        <v>1575180</v>
      </c>
      <c r="I72">
        <v>4403683</v>
      </c>
      <c r="J72">
        <v>5102907</v>
      </c>
      <c r="K72">
        <v>20.03</v>
      </c>
      <c r="L72">
        <v>-2.16</v>
      </c>
      <c r="M72">
        <v>1.6</v>
      </c>
      <c r="N72">
        <v>-14.44</v>
      </c>
      <c r="O72">
        <v>87</v>
      </c>
      <c r="P72" t="s">
        <v>46</v>
      </c>
      <c r="Q72" t="s">
        <v>57</v>
      </c>
      <c r="R72" t="s">
        <v>64</v>
      </c>
      <c r="S72">
        <v>2023</v>
      </c>
      <c r="T72" t="s">
        <v>30</v>
      </c>
      <c r="U72">
        <v>13863</v>
      </c>
      <c r="V72">
        <v>98.7</v>
      </c>
      <c r="W72">
        <v>72.52</v>
      </c>
      <c r="X72">
        <v>35.04</v>
      </c>
      <c r="Y72">
        <v>59.8</v>
      </c>
    </row>
    <row r="73" spans="1:25" x14ac:dyDescent="0.3">
      <c r="A73" t="s">
        <v>126</v>
      </c>
      <c r="B73" t="str">
        <f t="shared" si="1"/>
        <v>Aug</v>
      </c>
      <c r="C73" t="s">
        <v>49</v>
      </c>
      <c r="D73" t="s">
        <v>50</v>
      </c>
      <c r="E73">
        <v>19600361280.529999</v>
      </c>
      <c r="F73">
        <v>18454.03</v>
      </c>
      <c r="G73">
        <v>49479374783.019997</v>
      </c>
      <c r="H73">
        <v>2923367</v>
      </c>
      <c r="I73">
        <v>4614902</v>
      </c>
      <c r="J73">
        <v>5048625</v>
      </c>
      <c r="K73">
        <v>45.95</v>
      </c>
      <c r="L73">
        <v>-2.77</v>
      </c>
      <c r="M73">
        <v>-4.1900000000000004</v>
      </c>
      <c r="N73">
        <v>6.24</v>
      </c>
      <c r="O73">
        <v>198</v>
      </c>
      <c r="P73" t="s">
        <v>40</v>
      </c>
      <c r="Q73" t="s">
        <v>28</v>
      </c>
      <c r="R73" t="s">
        <v>42</v>
      </c>
      <c r="S73">
        <v>2010</v>
      </c>
      <c r="T73" t="s">
        <v>36</v>
      </c>
      <c r="U73">
        <v>40521</v>
      </c>
      <c r="V73">
        <v>60.15</v>
      </c>
      <c r="W73">
        <v>28.97</v>
      </c>
      <c r="X73">
        <v>53.93</v>
      </c>
      <c r="Y73">
        <v>52.91</v>
      </c>
    </row>
    <row r="74" spans="1:25" x14ac:dyDescent="0.3">
      <c r="A74" t="s">
        <v>127</v>
      </c>
      <c r="B74" t="str">
        <f t="shared" si="1"/>
        <v>Sep</v>
      </c>
      <c r="C74" t="s">
        <v>55</v>
      </c>
      <c r="D74" t="s">
        <v>56</v>
      </c>
      <c r="E74">
        <v>445220723806.90997</v>
      </c>
      <c r="F74">
        <v>56819.89</v>
      </c>
      <c r="G74">
        <v>47350555534.110001</v>
      </c>
      <c r="H74">
        <v>15174963</v>
      </c>
      <c r="I74">
        <v>15261236</v>
      </c>
      <c r="J74">
        <v>15424489</v>
      </c>
      <c r="K74">
        <v>43.61</v>
      </c>
      <c r="L74">
        <v>0.31</v>
      </c>
      <c r="M74">
        <v>3.47</v>
      </c>
      <c r="N74">
        <v>25.27</v>
      </c>
      <c r="O74">
        <v>70</v>
      </c>
      <c r="P74" t="s">
        <v>46</v>
      </c>
      <c r="Q74" t="s">
        <v>28</v>
      </c>
      <c r="R74" t="s">
        <v>64</v>
      </c>
      <c r="S74">
        <v>2011</v>
      </c>
      <c r="T74" t="s">
        <v>58</v>
      </c>
      <c r="U74">
        <v>4537</v>
      </c>
      <c r="V74">
        <v>93.54</v>
      </c>
      <c r="W74">
        <v>32.82</v>
      </c>
      <c r="X74">
        <v>18.850000000000001</v>
      </c>
      <c r="Y74">
        <v>77.64</v>
      </c>
    </row>
    <row r="75" spans="1:25" x14ac:dyDescent="0.3">
      <c r="A75" t="s">
        <v>128</v>
      </c>
      <c r="B75" t="str">
        <f t="shared" si="1"/>
        <v>Nov</v>
      </c>
      <c r="C75" t="s">
        <v>78</v>
      </c>
      <c r="D75" t="s">
        <v>79</v>
      </c>
      <c r="E75">
        <v>332313333608.98999</v>
      </c>
      <c r="F75">
        <v>23420.59</v>
      </c>
      <c r="G75">
        <v>44773707437.510002</v>
      </c>
      <c r="H75">
        <v>18462446</v>
      </c>
      <c r="I75">
        <v>18629260</v>
      </c>
      <c r="J75">
        <v>19414995</v>
      </c>
      <c r="K75">
        <v>48.33</v>
      </c>
      <c r="L75">
        <v>1.77</v>
      </c>
      <c r="M75">
        <v>-7.94</v>
      </c>
      <c r="N75">
        <v>-27.31</v>
      </c>
      <c r="O75">
        <v>7</v>
      </c>
      <c r="P75" t="s">
        <v>51</v>
      </c>
      <c r="Q75" t="s">
        <v>57</v>
      </c>
      <c r="R75" t="s">
        <v>42</v>
      </c>
      <c r="S75">
        <v>2013</v>
      </c>
      <c r="T75" t="s">
        <v>36</v>
      </c>
      <c r="U75">
        <v>56434</v>
      </c>
      <c r="V75">
        <v>12.67</v>
      </c>
      <c r="W75">
        <v>65.88</v>
      </c>
      <c r="X75">
        <v>27.84</v>
      </c>
      <c r="Y75">
        <v>51.79</v>
      </c>
    </row>
    <row r="76" spans="1:25" x14ac:dyDescent="0.3">
      <c r="A76" t="s">
        <v>129</v>
      </c>
      <c r="B76" t="str">
        <f t="shared" si="1"/>
        <v>Jan</v>
      </c>
      <c r="C76" t="s">
        <v>32</v>
      </c>
      <c r="D76" t="s">
        <v>33</v>
      </c>
      <c r="E76">
        <v>643928727308.94995</v>
      </c>
      <c r="F76">
        <v>35066.57</v>
      </c>
      <c r="G76">
        <v>15308440405.23</v>
      </c>
      <c r="H76">
        <v>14852615</v>
      </c>
      <c r="I76">
        <v>16478399</v>
      </c>
      <c r="J76">
        <v>17142590</v>
      </c>
      <c r="K76">
        <v>2.42</v>
      </c>
      <c r="L76">
        <v>-2.92</v>
      </c>
      <c r="M76">
        <v>0.25</v>
      </c>
      <c r="N76">
        <v>-26.94</v>
      </c>
      <c r="O76">
        <v>41</v>
      </c>
      <c r="P76" t="s">
        <v>40</v>
      </c>
      <c r="Q76" t="s">
        <v>57</v>
      </c>
      <c r="R76" t="s">
        <v>29</v>
      </c>
      <c r="S76">
        <v>2010</v>
      </c>
      <c r="T76" t="s">
        <v>36</v>
      </c>
      <c r="U76">
        <v>49041</v>
      </c>
      <c r="V76">
        <v>79.63</v>
      </c>
      <c r="W76">
        <v>21.11</v>
      </c>
      <c r="X76">
        <v>56.75</v>
      </c>
      <c r="Y76">
        <v>80.959999999999994</v>
      </c>
    </row>
    <row r="77" spans="1:25" x14ac:dyDescent="0.3">
      <c r="A77" t="s">
        <v>125</v>
      </c>
      <c r="B77" t="str">
        <f t="shared" si="1"/>
        <v>Mar</v>
      </c>
      <c r="C77" t="s">
        <v>78</v>
      </c>
      <c r="D77" t="s">
        <v>79</v>
      </c>
      <c r="E77">
        <v>237830621896.59</v>
      </c>
      <c r="F77">
        <v>28006.06</v>
      </c>
      <c r="G77">
        <v>26714411783.830002</v>
      </c>
      <c r="H77">
        <v>11069097</v>
      </c>
      <c r="I77">
        <v>12322975</v>
      </c>
      <c r="J77">
        <v>13269136</v>
      </c>
      <c r="K77">
        <v>46.21</v>
      </c>
      <c r="L77">
        <v>-0.13</v>
      </c>
      <c r="M77">
        <v>18.809999999999999</v>
      </c>
      <c r="N77">
        <v>3.38</v>
      </c>
      <c r="O77">
        <v>195</v>
      </c>
      <c r="P77" t="s">
        <v>46</v>
      </c>
      <c r="Q77" t="s">
        <v>47</v>
      </c>
      <c r="R77" t="s">
        <v>29</v>
      </c>
      <c r="S77">
        <v>2014</v>
      </c>
      <c r="T77" t="s">
        <v>36</v>
      </c>
      <c r="U77">
        <v>34704</v>
      </c>
      <c r="V77">
        <v>77.89</v>
      </c>
      <c r="W77">
        <v>49.23</v>
      </c>
      <c r="X77">
        <v>88.59</v>
      </c>
      <c r="Y77">
        <v>45.55</v>
      </c>
    </row>
    <row r="78" spans="1:25" x14ac:dyDescent="0.3">
      <c r="A78" t="s">
        <v>130</v>
      </c>
      <c r="B78" t="str">
        <f t="shared" si="1"/>
        <v>May</v>
      </c>
      <c r="C78" t="s">
        <v>32</v>
      </c>
      <c r="D78" t="s">
        <v>33</v>
      </c>
      <c r="E78">
        <v>127779385850.03</v>
      </c>
      <c r="F78">
        <v>45123.78</v>
      </c>
      <c r="G78">
        <v>13130219706.860001</v>
      </c>
      <c r="H78">
        <v>9237176</v>
      </c>
      <c r="I78">
        <v>12540133</v>
      </c>
      <c r="J78">
        <v>12814606</v>
      </c>
      <c r="K78">
        <v>43.14</v>
      </c>
      <c r="L78">
        <v>-4.9000000000000004</v>
      </c>
      <c r="M78">
        <v>-13.32</v>
      </c>
      <c r="N78">
        <v>-11.25</v>
      </c>
      <c r="O78">
        <v>100</v>
      </c>
      <c r="P78" t="s">
        <v>46</v>
      </c>
      <c r="Q78" t="s">
        <v>28</v>
      </c>
      <c r="R78" t="s">
        <v>35</v>
      </c>
      <c r="S78">
        <v>2022</v>
      </c>
      <c r="T78" t="s">
        <v>36</v>
      </c>
      <c r="U78">
        <v>48010</v>
      </c>
      <c r="V78">
        <v>24.92</v>
      </c>
      <c r="W78">
        <v>69.36</v>
      </c>
      <c r="X78">
        <v>94.03</v>
      </c>
      <c r="Y78">
        <v>71.040000000000006</v>
      </c>
    </row>
    <row r="79" spans="1:25" x14ac:dyDescent="0.3">
      <c r="A79" t="s">
        <v>63</v>
      </c>
      <c r="B79" t="str">
        <f t="shared" si="1"/>
        <v>Jun</v>
      </c>
      <c r="C79" t="s">
        <v>25</v>
      </c>
      <c r="D79" t="s">
        <v>26</v>
      </c>
      <c r="E79">
        <v>186570560631.38</v>
      </c>
      <c r="F79">
        <v>28395.18</v>
      </c>
      <c r="G79">
        <v>12706352675.99</v>
      </c>
      <c r="H79">
        <v>14523867</v>
      </c>
      <c r="I79">
        <v>18760279</v>
      </c>
      <c r="J79">
        <v>19704562</v>
      </c>
      <c r="K79">
        <v>56.65</v>
      </c>
      <c r="L79">
        <v>1.04</v>
      </c>
      <c r="M79">
        <v>-18.27</v>
      </c>
      <c r="N79">
        <v>-7.86</v>
      </c>
      <c r="O79">
        <v>5</v>
      </c>
      <c r="P79" t="s">
        <v>53</v>
      </c>
      <c r="Q79" t="s">
        <v>47</v>
      </c>
      <c r="R79" t="s">
        <v>35</v>
      </c>
      <c r="S79">
        <v>2013</v>
      </c>
      <c r="T79" t="s">
        <v>30</v>
      </c>
      <c r="U79">
        <v>39955</v>
      </c>
      <c r="V79">
        <v>96.06</v>
      </c>
      <c r="W79">
        <v>92.75</v>
      </c>
      <c r="X79">
        <v>20.47</v>
      </c>
      <c r="Y79">
        <v>30.04</v>
      </c>
    </row>
    <row r="80" spans="1:25" x14ac:dyDescent="0.3">
      <c r="A80" t="s">
        <v>125</v>
      </c>
      <c r="B80" t="str">
        <f t="shared" si="1"/>
        <v>Mar</v>
      </c>
      <c r="C80" t="s">
        <v>78</v>
      </c>
      <c r="D80" t="s">
        <v>79</v>
      </c>
      <c r="E80">
        <v>425098443313</v>
      </c>
      <c r="F80">
        <v>67818.25</v>
      </c>
      <c r="G80">
        <v>8313862337.9899998</v>
      </c>
      <c r="H80">
        <v>15176421</v>
      </c>
      <c r="I80">
        <v>16336046</v>
      </c>
      <c r="J80">
        <v>16450019</v>
      </c>
      <c r="K80">
        <v>3.12</v>
      </c>
      <c r="L80">
        <v>0.11</v>
      </c>
      <c r="M80">
        <v>7.15</v>
      </c>
      <c r="N80">
        <v>5.96</v>
      </c>
      <c r="O80">
        <v>122</v>
      </c>
      <c r="P80" t="s">
        <v>40</v>
      </c>
      <c r="Q80" t="s">
        <v>47</v>
      </c>
      <c r="R80" t="s">
        <v>64</v>
      </c>
      <c r="S80">
        <v>2020</v>
      </c>
      <c r="T80" t="s">
        <v>36</v>
      </c>
      <c r="U80">
        <v>60864</v>
      </c>
      <c r="V80">
        <v>47.96</v>
      </c>
      <c r="W80">
        <v>99.24</v>
      </c>
      <c r="X80">
        <v>55.5</v>
      </c>
      <c r="Y80">
        <v>77.31</v>
      </c>
    </row>
    <row r="81" spans="1:25" x14ac:dyDescent="0.3">
      <c r="A81" t="s">
        <v>131</v>
      </c>
      <c r="B81" t="str">
        <f t="shared" si="1"/>
        <v>Jun</v>
      </c>
      <c r="C81" t="s">
        <v>32</v>
      </c>
      <c r="D81" t="s">
        <v>33</v>
      </c>
      <c r="E81">
        <v>448365325500.63</v>
      </c>
      <c r="F81">
        <v>41223.919999999998</v>
      </c>
      <c r="G81">
        <v>37960948337.239998</v>
      </c>
      <c r="H81">
        <v>3627233</v>
      </c>
      <c r="I81">
        <v>6641352</v>
      </c>
      <c r="J81">
        <v>7123927</v>
      </c>
      <c r="K81">
        <v>13.43</v>
      </c>
      <c r="L81">
        <v>-4.3499999999999996</v>
      </c>
      <c r="M81">
        <v>-13.44</v>
      </c>
      <c r="N81">
        <v>-25.42</v>
      </c>
      <c r="O81">
        <v>30</v>
      </c>
      <c r="P81" t="s">
        <v>27</v>
      </c>
      <c r="Q81" t="s">
        <v>47</v>
      </c>
      <c r="R81" t="s">
        <v>35</v>
      </c>
      <c r="S81">
        <v>2013</v>
      </c>
      <c r="T81" t="s">
        <v>36</v>
      </c>
      <c r="U81">
        <v>61573</v>
      </c>
      <c r="V81">
        <v>59.42</v>
      </c>
      <c r="W81">
        <v>53.91</v>
      </c>
      <c r="X81">
        <v>25.77</v>
      </c>
      <c r="Y81">
        <v>51.73</v>
      </c>
    </row>
    <row r="82" spans="1:25" x14ac:dyDescent="0.3">
      <c r="A82" t="s">
        <v>132</v>
      </c>
      <c r="B82" t="str">
        <f t="shared" si="1"/>
        <v>Oct</v>
      </c>
      <c r="C82" t="s">
        <v>38</v>
      </c>
      <c r="D82" t="s">
        <v>39</v>
      </c>
      <c r="E82">
        <v>732984780212.32996</v>
      </c>
      <c r="F82">
        <v>46901.09</v>
      </c>
      <c r="G82">
        <v>10744001802.09</v>
      </c>
      <c r="H82">
        <v>16201402</v>
      </c>
      <c r="I82">
        <v>18949957</v>
      </c>
      <c r="J82">
        <v>19704654</v>
      </c>
      <c r="K82">
        <v>23.7</v>
      </c>
      <c r="L82">
        <v>-2.52</v>
      </c>
      <c r="M82">
        <v>-17.88</v>
      </c>
      <c r="N82">
        <v>6.8</v>
      </c>
      <c r="O82">
        <v>95</v>
      </c>
      <c r="P82" t="s">
        <v>53</v>
      </c>
      <c r="Q82" t="s">
        <v>41</v>
      </c>
      <c r="R82" t="s">
        <v>35</v>
      </c>
      <c r="S82">
        <v>2014</v>
      </c>
      <c r="T82" t="s">
        <v>36</v>
      </c>
      <c r="U82">
        <v>25069</v>
      </c>
      <c r="V82">
        <v>33.200000000000003</v>
      </c>
      <c r="W82">
        <v>88.38</v>
      </c>
      <c r="X82">
        <v>25.47</v>
      </c>
      <c r="Y82">
        <v>75.12</v>
      </c>
    </row>
    <row r="83" spans="1:25" x14ac:dyDescent="0.3">
      <c r="A83" t="s">
        <v>133</v>
      </c>
      <c r="B83" t="str">
        <f t="shared" si="1"/>
        <v>Jan</v>
      </c>
      <c r="C83" t="s">
        <v>68</v>
      </c>
      <c r="D83" t="s">
        <v>69</v>
      </c>
      <c r="E83">
        <v>508363388806.63</v>
      </c>
      <c r="F83">
        <v>11089.79</v>
      </c>
      <c r="G83">
        <v>14890538558.190001</v>
      </c>
      <c r="H83">
        <v>1581218</v>
      </c>
      <c r="I83">
        <v>3330083</v>
      </c>
      <c r="J83">
        <v>3788035</v>
      </c>
      <c r="K83">
        <v>1.58</v>
      </c>
      <c r="L83">
        <v>0.17</v>
      </c>
      <c r="M83">
        <v>-16.82</v>
      </c>
      <c r="N83">
        <v>2.73</v>
      </c>
      <c r="O83">
        <v>199</v>
      </c>
      <c r="P83" t="s">
        <v>53</v>
      </c>
      <c r="Q83" t="s">
        <v>47</v>
      </c>
      <c r="R83" t="s">
        <v>64</v>
      </c>
      <c r="S83">
        <v>2018</v>
      </c>
      <c r="T83" t="s">
        <v>36</v>
      </c>
      <c r="U83">
        <v>1703</v>
      </c>
      <c r="V83">
        <v>57.78</v>
      </c>
      <c r="W83">
        <v>61.82</v>
      </c>
      <c r="X83">
        <v>88.84</v>
      </c>
      <c r="Y83">
        <v>49.28</v>
      </c>
    </row>
    <row r="84" spans="1:25" x14ac:dyDescent="0.3">
      <c r="A84" t="s">
        <v>134</v>
      </c>
      <c r="B84" t="str">
        <f t="shared" si="1"/>
        <v>Mar</v>
      </c>
      <c r="C84" t="s">
        <v>49</v>
      </c>
      <c r="D84" t="s">
        <v>50</v>
      </c>
      <c r="E84">
        <v>427004936381.63</v>
      </c>
      <c r="F84">
        <v>3670.8</v>
      </c>
      <c r="G84">
        <v>29746986921.43</v>
      </c>
      <c r="H84">
        <v>1989396</v>
      </c>
      <c r="I84">
        <v>3953798</v>
      </c>
      <c r="J84">
        <v>4386729</v>
      </c>
      <c r="K84">
        <v>33.86</v>
      </c>
      <c r="L84">
        <v>-4.46</v>
      </c>
      <c r="M84">
        <v>-5.9</v>
      </c>
      <c r="N84">
        <v>14.9</v>
      </c>
      <c r="O84">
        <v>58</v>
      </c>
      <c r="P84" t="s">
        <v>27</v>
      </c>
      <c r="Q84" t="s">
        <v>57</v>
      </c>
      <c r="R84" t="s">
        <v>74</v>
      </c>
      <c r="S84">
        <v>2018</v>
      </c>
      <c r="T84" t="s">
        <v>36</v>
      </c>
      <c r="U84">
        <v>4683</v>
      </c>
      <c r="V84">
        <v>78.040000000000006</v>
      </c>
      <c r="W84">
        <v>55.37</v>
      </c>
      <c r="X84">
        <v>92.51</v>
      </c>
      <c r="Y84">
        <v>93.3</v>
      </c>
    </row>
    <row r="85" spans="1:25" x14ac:dyDescent="0.3">
      <c r="A85" t="s">
        <v>135</v>
      </c>
      <c r="B85" t="str">
        <f t="shared" si="1"/>
        <v>Nov</v>
      </c>
      <c r="C85" t="s">
        <v>78</v>
      </c>
      <c r="D85" t="s">
        <v>79</v>
      </c>
      <c r="E85">
        <v>442956710543.29999</v>
      </c>
      <c r="F85">
        <v>55947.47</v>
      </c>
      <c r="G85">
        <v>44669249292.940002</v>
      </c>
      <c r="H85">
        <v>18650411</v>
      </c>
      <c r="I85">
        <v>21489238</v>
      </c>
      <c r="J85">
        <v>22070281</v>
      </c>
      <c r="K85">
        <v>49.14</v>
      </c>
      <c r="L85">
        <v>3.13</v>
      </c>
      <c r="M85">
        <v>-15.95</v>
      </c>
      <c r="N85">
        <v>-33.200000000000003</v>
      </c>
      <c r="O85">
        <v>199</v>
      </c>
      <c r="P85" t="s">
        <v>53</v>
      </c>
      <c r="Q85" t="s">
        <v>34</v>
      </c>
      <c r="R85" t="s">
        <v>29</v>
      </c>
      <c r="S85">
        <v>2016</v>
      </c>
      <c r="T85" t="s">
        <v>36</v>
      </c>
      <c r="U85">
        <v>7806</v>
      </c>
      <c r="V85">
        <v>19.62</v>
      </c>
      <c r="W85">
        <v>40.54</v>
      </c>
      <c r="X85">
        <v>48.95</v>
      </c>
      <c r="Y85">
        <v>19.850000000000001</v>
      </c>
    </row>
    <row r="86" spans="1:25" x14ac:dyDescent="0.3">
      <c r="A86" t="s">
        <v>136</v>
      </c>
      <c r="B86" t="str">
        <f t="shared" si="1"/>
        <v>Aug</v>
      </c>
      <c r="C86" t="s">
        <v>38</v>
      </c>
      <c r="D86" t="s">
        <v>39</v>
      </c>
      <c r="E86">
        <v>892534323329.16003</v>
      </c>
      <c r="F86">
        <v>22360.1</v>
      </c>
      <c r="G86">
        <v>11362765962.65</v>
      </c>
      <c r="H86">
        <v>13815559</v>
      </c>
      <c r="I86">
        <v>16530190</v>
      </c>
      <c r="J86">
        <v>17420471</v>
      </c>
      <c r="K86">
        <v>51.14</v>
      </c>
      <c r="L86">
        <v>2.73</v>
      </c>
      <c r="M86">
        <v>-11.78</v>
      </c>
      <c r="N86">
        <v>-18.34</v>
      </c>
      <c r="O86">
        <v>81</v>
      </c>
      <c r="P86" t="s">
        <v>27</v>
      </c>
      <c r="Q86" t="s">
        <v>57</v>
      </c>
      <c r="R86" t="s">
        <v>35</v>
      </c>
      <c r="S86">
        <v>2012</v>
      </c>
      <c r="T86" t="s">
        <v>36</v>
      </c>
      <c r="U86">
        <v>59728</v>
      </c>
      <c r="V86">
        <v>57.95</v>
      </c>
      <c r="W86">
        <v>27.28</v>
      </c>
      <c r="X86">
        <v>60.86</v>
      </c>
      <c r="Y86">
        <v>34.229999999999997</v>
      </c>
    </row>
    <row r="87" spans="1:25" x14ac:dyDescent="0.3">
      <c r="A87" t="s">
        <v>129</v>
      </c>
      <c r="B87" t="str">
        <f t="shared" si="1"/>
        <v>Jan</v>
      </c>
      <c r="C87" t="s">
        <v>90</v>
      </c>
      <c r="D87" t="s">
        <v>91</v>
      </c>
      <c r="E87">
        <v>224739250326.07999</v>
      </c>
      <c r="F87">
        <v>15180.3</v>
      </c>
      <c r="G87">
        <v>14748806442.82</v>
      </c>
      <c r="H87">
        <v>13040428</v>
      </c>
      <c r="I87">
        <v>17329837</v>
      </c>
      <c r="J87">
        <v>17760706</v>
      </c>
      <c r="K87">
        <v>20.04</v>
      </c>
      <c r="L87">
        <v>-3.48</v>
      </c>
      <c r="M87">
        <v>19.760000000000002</v>
      </c>
      <c r="N87">
        <v>-32.42</v>
      </c>
      <c r="O87">
        <v>102</v>
      </c>
      <c r="P87" t="s">
        <v>40</v>
      </c>
      <c r="Q87" t="s">
        <v>28</v>
      </c>
      <c r="R87" t="s">
        <v>64</v>
      </c>
      <c r="S87">
        <v>2012</v>
      </c>
      <c r="T87" t="s">
        <v>30</v>
      </c>
      <c r="U87">
        <v>25546</v>
      </c>
      <c r="V87">
        <v>70.08</v>
      </c>
      <c r="W87">
        <v>91.96</v>
      </c>
      <c r="X87">
        <v>74.89</v>
      </c>
      <c r="Y87">
        <v>13.41</v>
      </c>
    </row>
    <row r="88" spans="1:25" x14ac:dyDescent="0.3">
      <c r="A88" t="s">
        <v>116</v>
      </c>
      <c r="B88" t="str">
        <f t="shared" si="1"/>
        <v>Feb</v>
      </c>
      <c r="C88" t="s">
        <v>60</v>
      </c>
      <c r="D88" t="s">
        <v>61</v>
      </c>
      <c r="E88">
        <v>147329068566.48999</v>
      </c>
      <c r="F88">
        <v>28042.07</v>
      </c>
      <c r="G88">
        <v>43835008883.25</v>
      </c>
      <c r="H88">
        <v>17531698</v>
      </c>
      <c r="I88">
        <v>22322054</v>
      </c>
      <c r="J88">
        <v>23032675</v>
      </c>
      <c r="K88">
        <v>1.21</v>
      </c>
      <c r="L88">
        <v>0.53</v>
      </c>
      <c r="M88">
        <v>16.59</v>
      </c>
      <c r="N88">
        <v>-38.97</v>
      </c>
      <c r="O88">
        <v>8</v>
      </c>
      <c r="P88" t="s">
        <v>51</v>
      </c>
      <c r="Q88" t="s">
        <v>28</v>
      </c>
      <c r="R88" t="s">
        <v>74</v>
      </c>
      <c r="S88">
        <v>2015</v>
      </c>
      <c r="T88" t="s">
        <v>30</v>
      </c>
      <c r="U88">
        <v>24423</v>
      </c>
      <c r="V88">
        <v>54.64</v>
      </c>
      <c r="W88">
        <v>42.39</v>
      </c>
      <c r="X88">
        <v>64.78</v>
      </c>
      <c r="Y88">
        <v>91.11</v>
      </c>
    </row>
    <row r="89" spans="1:25" x14ac:dyDescent="0.3">
      <c r="A89" t="s">
        <v>137</v>
      </c>
      <c r="B89" t="str">
        <f t="shared" si="1"/>
        <v>Oct</v>
      </c>
      <c r="C89" t="s">
        <v>55</v>
      </c>
      <c r="D89" t="s">
        <v>56</v>
      </c>
      <c r="E89">
        <v>480148223498.65997</v>
      </c>
      <c r="F89">
        <v>55858.2</v>
      </c>
      <c r="G89">
        <v>34137306176.16</v>
      </c>
      <c r="H89">
        <v>2753897</v>
      </c>
      <c r="I89">
        <v>6697080</v>
      </c>
      <c r="J89">
        <v>6862973</v>
      </c>
      <c r="K89">
        <v>10.56</v>
      </c>
      <c r="L89">
        <v>-0.18</v>
      </c>
      <c r="M89">
        <v>3.65</v>
      </c>
      <c r="N89">
        <v>14.02</v>
      </c>
      <c r="O89">
        <v>89</v>
      </c>
      <c r="P89" t="s">
        <v>51</v>
      </c>
      <c r="Q89" t="s">
        <v>57</v>
      </c>
      <c r="R89" t="s">
        <v>74</v>
      </c>
      <c r="S89">
        <v>2019</v>
      </c>
      <c r="T89" t="s">
        <v>58</v>
      </c>
      <c r="U89">
        <v>30003</v>
      </c>
      <c r="V89">
        <v>73.31</v>
      </c>
      <c r="W89">
        <v>36.700000000000003</v>
      </c>
      <c r="X89">
        <v>11.48</v>
      </c>
      <c r="Y89">
        <v>87.6</v>
      </c>
    </row>
    <row r="90" spans="1:25" x14ac:dyDescent="0.3">
      <c r="A90" t="s">
        <v>138</v>
      </c>
      <c r="B90" t="str">
        <f t="shared" si="1"/>
        <v>Feb</v>
      </c>
      <c r="C90" t="s">
        <v>44</v>
      </c>
      <c r="D90" t="s">
        <v>45</v>
      </c>
      <c r="E90">
        <v>871945997268.48999</v>
      </c>
      <c r="F90">
        <v>24897.27</v>
      </c>
      <c r="G90">
        <v>36275663681.269997</v>
      </c>
      <c r="H90">
        <v>1929791</v>
      </c>
      <c r="I90">
        <v>4343381</v>
      </c>
      <c r="J90">
        <v>4552967</v>
      </c>
      <c r="K90">
        <v>4.42</v>
      </c>
      <c r="L90">
        <v>-2.0499999999999998</v>
      </c>
      <c r="M90">
        <v>-9.4499999999999993</v>
      </c>
      <c r="N90">
        <v>-18.399999999999999</v>
      </c>
      <c r="O90">
        <v>14</v>
      </c>
      <c r="P90" t="s">
        <v>53</v>
      </c>
      <c r="Q90" t="s">
        <v>34</v>
      </c>
      <c r="R90" t="s">
        <v>64</v>
      </c>
      <c r="S90">
        <v>2015</v>
      </c>
      <c r="T90" t="s">
        <v>36</v>
      </c>
      <c r="U90">
        <v>62813</v>
      </c>
      <c r="V90">
        <v>97.18</v>
      </c>
      <c r="W90">
        <v>58.13</v>
      </c>
      <c r="X90">
        <v>66.61</v>
      </c>
      <c r="Y90">
        <v>93.78</v>
      </c>
    </row>
    <row r="91" spans="1:25" x14ac:dyDescent="0.3">
      <c r="A91" t="s">
        <v>139</v>
      </c>
      <c r="B91" t="str">
        <f t="shared" si="1"/>
        <v>Jul</v>
      </c>
      <c r="C91" t="s">
        <v>49</v>
      </c>
      <c r="D91" t="s">
        <v>50</v>
      </c>
      <c r="E91">
        <v>670928792862</v>
      </c>
      <c r="F91">
        <v>42169.02</v>
      </c>
      <c r="G91">
        <v>43275932391.230003</v>
      </c>
      <c r="H91">
        <v>5481141</v>
      </c>
      <c r="I91">
        <v>6612064</v>
      </c>
      <c r="J91">
        <v>6924366</v>
      </c>
      <c r="K91">
        <v>4.18</v>
      </c>
      <c r="L91">
        <v>0.26</v>
      </c>
      <c r="M91">
        <v>9.25</v>
      </c>
      <c r="N91">
        <v>-23.02</v>
      </c>
      <c r="O91">
        <v>16</v>
      </c>
      <c r="P91" t="s">
        <v>51</v>
      </c>
      <c r="Q91" t="s">
        <v>34</v>
      </c>
      <c r="R91" t="s">
        <v>35</v>
      </c>
      <c r="S91">
        <v>2015</v>
      </c>
      <c r="T91" t="s">
        <v>36</v>
      </c>
      <c r="U91">
        <v>3071</v>
      </c>
      <c r="V91">
        <v>17.45</v>
      </c>
      <c r="W91">
        <v>92.34</v>
      </c>
      <c r="X91">
        <v>73.349999999999994</v>
      </c>
      <c r="Y91">
        <v>99.95</v>
      </c>
    </row>
    <row r="92" spans="1:25" x14ac:dyDescent="0.3">
      <c r="A92" t="s">
        <v>140</v>
      </c>
      <c r="B92" t="str">
        <f t="shared" si="1"/>
        <v>Jun</v>
      </c>
      <c r="C92" t="s">
        <v>38</v>
      </c>
      <c r="D92" t="s">
        <v>39</v>
      </c>
      <c r="E92">
        <v>346424839610.17999</v>
      </c>
      <c r="F92">
        <v>12009.69</v>
      </c>
      <c r="G92">
        <v>11751122651.440001</v>
      </c>
      <c r="H92">
        <v>2974938</v>
      </c>
      <c r="I92">
        <v>4567157</v>
      </c>
      <c r="J92">
        <v>4739782</v>
      </c>
      <c r="K92">
        <v>25.7</v>
      </c>
      <c r="L92">
        <v>-4.5199999999999996</v>
      </c>
      <c r="M92">
        <v>16.809999999999999</v>
      </c>
      <c r="N92">
        <v>-18.23</v>
      </c>
      <c r="O92">
        <v>3</v>
      </c>
      <c r="P92" t="s">
        <v>51</v>
      </c>
      <c r="Q92" t="s">
        <v>28</v>
      </c>
      <c r="R92" t="s">
        <v>64</v>
      </c>
      <c r="S92">
        <v>2013</v>
      </c>
      <c r="T92" t="s">
        <v>36</v>
      </c>
      <c r="U92">
        <v>62971</v>
      </c>
      <c r="V92">
        <v>12.28</v>
      </c>
      <c r="W92">
        <v>28.29</v>
      </c>
      <c r="X92">
        <v>38.590000000000003</v>
      </c>
      <c r="Y92">
        <v>41.87</v>
      </c>
    </row>
    <row r="93" spans="1:25" x14ac:dyDescent="0.3">
      <c r="A93" t="s">
        <v>141</v>
      </c>
      <c r="B93" t="str">
        <f t="shared" si="1"/>
        <v>Aug</v>
      </c>
      <c r="C93" t="s">
        <v>38</v>
      </c>
      <c r="D93" t="s">
        <v>39</v>
      </c>
      <c r="E93">
        <v>662293152205.75</v>
      </c>
      <c r="F93">
        <v>26278.720000000001</v>
      </c>
      <c r="G93">
        <v>648383817.28999996</v>
      </c>
      <c r="H93">
        <v>3806945</v>
      </c>
      <c r="I93">
        <v>8106251</v>
      </c>
      <c r="J93">
        <v>8178494</v>
      </c>
      <c r="K93">
        <v>48.46</v>
      </c>
      <c r="L93">
        <v>3.46</v>
      </c>
      <c r="M93">
        <v>-8.36</v>
      </c>
      <c r="N93">
        <v>20.05</v>
      </c>
      <c r="O93">
        <v>187</v>
      </c>
      <c r="P93" t="s">
        <v>53</v>
      </c>
      <c r="Q93" t="s">
        <v>28</v>
      </c>
      <c r="R93" t="s">
        <v>74</v>
      </c>
      <c r="S93">
        <v>2020</v>
      </c>
      <c r="T93" t="s">
        <v>36</v>
      </c>
      <c r="U93">
        <v>25890</v>
      </c>
      <c r="V93">
        <v>31.1</v>
      </c>
      <c r="W93">
        <v>98.64</v>
      </c>
      <c r="X93">
        <v>76.069999999999993</v>
      </c>
      <c r="Y93">
        <v>72.73</v>
      </c>
    </row>
    <row r="94" spans="1:25" x14ac:dyDescent="0.3">
      <c r="A94" t="s">
        <v>142</v>
      </c>
      <c r="B94" t="str">
        <f t="shared" si="1"/>
        <v>Apr</v>
      </c>
      <c r="C94" t="s">
        <v>44</v>
      </c>
      <c r="D94" t="s">
        <v>45</v>
      </c>
      <c r="E94">
        <v>123783669888.34</v>
      </c>
      <c r="F94">
        <v>54185.79</v>
      </c>
      <c r="G94">
        <v>36204090485.879997</v>
      </c>
      <c r="H94">
        <v>10800548</v>
      </c>
      <c r="I94">
        <v>14381299</v>
      </c>
      <c r="J94">
        <v>15363067</v>
      </c>
      <c r="K94">
        <v>32.06</v>
      </c>
      <c r="L94">
        <v>4.47</v>
      </c>
      <c r="M94">
        <v>19.04</v>
      </c>
      <c r="N94">
        <v>7.67</v>
      </c>
      <c r="O94">
        <v>195</v>
      </c>
      <c r="P94" t="s">
        <v>51</v>
      </c>
      <c r="Q94" t="s">
        <v>34</v>
      </c>
      <c r="R94" t="s">
        <v>74</v>
      </c>
      <c r="S94">
        <v>2023</v>
      </c>
      <c r="T94" t="s">
        <v>36</v>
      </c>
      <c r="U94">
        <v>47782</v>
      </c>
      <c r="V94">
        <v>28.2</v>
      </c>
      <c r="W94">
        <v>90.06</v>
      </c>
      <c r="X94">
        <v>19.43</v>
      </c>
      <c r="Y94">
        <v>43.66</v>
      </c>
    </row>
    <row r="95" spans="1:25" x14ac:dyDescent="0.3">
      <c r="A95" t="s">
        <v>143</v>
      </c>
      <c r="B95" t="str">
        <f t="shared" si="1"/>
        <v>Jun</v>
      </c>
      <c r="C95" t="s">
        <v>78</v>
      </c>
      <c r="D95" t="s">
        <v>79</v>
      </c>
      <c r="E95">
        <v>617282169559.33997</v>
      </c>
      <c r="F95">
        <v>18292.830000000002</v>
      </c>
      <c r="G95">
        <v>42777082380.639999</v>
      </c>
      <c r="H95">
        <v>6895390</v>
      </c>
      <c r="I95">
        <v>8588733</v>
      </c>
      <c r="J95">
        <v>8617953</v>
      </c>
      <c r="K95">
        <v>1.37</v>
      </c>
      <c r="L95">
        <v>2.71</v>
      </c>
      <c r="M95">
        <v>-12.46</v>
      </c>
      <c r="N95">
        <v>-12.14</v>
      </c>
      <c r="O95">
        <v>67</v>
      </c>
      <c r="P95" t="s">
        <v>51</v>
      </c>
      <c r="Q95" t="s">
        <v>34</v>
      </c>
      <c r="R95" t="s">
        <v>64</v>
      </c>
      <c r="S95">
        <v>2013</v>
      </c>
      <c r="T95" t="s">
        <v>36</v>
      </c>
      <c r="U95">
        <v>4326</v>
      </c>
      <c r="V95">
        <v>63.63</v>
      </c>
      <c r="W95">
        <v>66.92</v>
      </c>
      <c r="X95">
        <v>72.040000000000006</v>
      </c>
      <c r="Y95">
        <v>16.059999999999999</v>
      </c>
    </row>
    <row r="96" spans="1:25" x14ac:dyDescent="0.3">
      <c r="A96" t="s">
        <v>144</v>
      </c>
      <c r="B96" t="str">
        <f t="shared" si="1"/>
        <v>Dec</v>
      </c>
      <c r="C96" t="s">
        <v>60</v>
      </c>
      <c r="D96" t="s">
        <v>61</v>
      </c>
      <c r="E96">
        <v>92788092632.600006</v>
      </c>
      <c r="F96">
        <v>67616.33</v>
      </c>
      <c r="G96">
        <v>29508663171.169998</v>
      </c>
      <c r="H96">
        <v>12711379</v>
      </c>
      <c r="I96">
        <v>17230167</v>
      </c>
      <c r="J96">
        <v>18069413</v>
      </c>
      <c r="K96">
        <v>36.32</v>
      </c>
      <c r="L96">
        <v>2.35</v>
      </c>
      <c r="M96">
        <v>18.260000000000002</v>
      </c>
      <c r="N96">
        <v>-25.85</v>
      </c>
      <c r="O96">
        <v>155</v>
      </c>
      <c r="P96" t="s">
        <v>51</v>
      </c>
      <c r="Q96" t="s">
        <v>57</v>
      </c>
      <c r="R96" t="s">
        <v>64</v>
      </c>
      <c r="S96">
        <v>2023</v>
      </c>
      <c r="T96" t="s">
        <v>30</v>
      </c>
      <c r="U96">
        <v>63792</v>
      </c>
      <c r="V96">
        <v>15.58</v>
      </c>
      <c r="W96">
        <v>44.32</v>
      </c>
      <c r="X96">
        <v>31.51</v>
      </c>
      <c r="Y96">
        <v>72.11</v>
      </c>
    </row>
    <row r="97" spans="1:25" x14ac:dyDescent="0.3">
      <c r="A97" t="s">
        <v>145</v>
      </c>
      <c r="B97" t="str">
        <f t="shared" si="1"/>
        <v>Nov</v>
      </c>
      <c r="C97" t="s">
        <v>90</v>
      </c>
      <c r="D97" t="s">
        <v>91</v>
      </c>
      <c r="E97">
        <v>54901891384.029999</v>
      </c>
      <c r="F97">
        <v>5079.0600000000004</v>
      </c>
      <c r="G97">
        <v>10568727014.639999</v>
      </c>
      <c r="H97">
        <v>4963456</v>
      </c>
      <c r="I97">
        <v>7668654</v>
      </c>
      <c r="J97">
        <v>8577569</v>
      </c>
      <c r="K97">
        <v>0.59</v>
      </c>
      <c r="L97">
        <v>-2.23</v>
      </c>
      <c r="M97">
        <v>2.11</v>
      </c>
      <c r="N97">
        <v>-37.81</v>
      </c>
      <c r="O97">
        <v>32</v>
      </c>
      <c r="P97" t="s">
        <v>51</v>
      </c>
      <c r="Q97" t="s">
        <v>34</v>
      </c>
      <c r="R97" t="s">
        <v>42</v>
      </c>
      <c r="S97">
        <v>2023</v>
      </c>
      <c r="T97" t="s">
        <v>30</v>
      </c>
      <c r="U97">
        <v>1139</v>
      </c>
      <c r="V97">
        <v>59.07</v>
      </c>
      <c r="W97">
        <v>64.05</v>
      </c>
      <c r="X97">
        <v>81.44</v>
      </c>
      <c r="Y97">
        <v>33.92</v>
      </c>
    </row>
    <row r="98" spans="1:25" x14ac:dyDescent="0.3">
      <c r="A98" t="s">
        <v>146</v>
      </c>
      <c r="B98" t="str">
        <f t="shared" si="1"/>
        <v>Jun</v>
      </c>
      <c r="C98" t="s">
        <v>44</v>
      </c>
      <c r="D98" t="s">
        <v>45</v>
      </c>
      <c r="E98">
        <v>369549794920.09998</v>
      </c>
      <c r="F98">
        <v>23844.83</v>
      </c>
      <c r="G98">
        <v>1660427960.73</v>
      </c>
      <c r="H98">
        <v>18323150</v>
      </c>
      <c r="I98">
        <v>21551545</v>
      </c>
      <c r="J98">
        <v>22430199</v>
      </c>
      <c r="K98">
        <v>56.32</v>
      </c>
      <c r="L98">
        <v>-1.3</v>
      </c>
      <c r="M98">
        <v>-18.05</v>
      </c>
      <c r="N98">
        <v>-15.92</v>
      </c>
      <c r="O98">
        <v>134</v>
      </c>
      <c r="P98" t="s">
        <v>46</v>
      </c>
      <c r="Q98" t="s">
        <v>34</v>
      </c>
      <c r="R98" t="s">
        <v>29</v>
      </c>
      <c r="S98">
        <v>2023</v>
      </c>
      <c r="T98" t="s">
        <v>36</v>
      </c>
      <c r="U98">
        <v>54198</v>
      </c>
      <c r="V98">
        <v>67.41</v>
      </c>
      <c r="W98">
        <v>91.15</v>
      </c>
      <c r="X98">
        <v>74.45</v>
      </c>
      <c r="Y98">
        <v>12.1</v>
      </c>
    </row>
    <row r="99" spans="1:25" x14ac:dyDescent="0.3">
      <c r="A99" t="s">
        <v>147</v>
      </c>
      <c r="B99" t="str">
        <f t="shared" si="1"/>
        <v>Mar</v>
      </c>
      <c r="C99" t="s">
        <v>68</v>
      </c>
      <c r="D99" t="s">
        <v>69</v>
      </c>
      <c r="E99">
        <v>662513503213.68994</v>
      </c>
      <c r="F99">
        <v>66771.350000000006</v>
      </c>
      <c r="G99">
        <v>3431715884.3499999</v>
      </c>
      <c r="H99">
        <v>14948023</v>
      </c>
      <c r="I99">
        <v>18920418</v>
      </c>
      <c r="J99">
        <v>19123362</v>
      </c>
      <c r="K99">
        <v>14.01</v>
      </c>
      <c r="L99">
        <v>-2.5</v>
      </c>
      <c r="M99">
        <v>3.8</v>
      </c>
      <c r="N99">
        <v>-21.55</v>
      </c>
      <c r="O99">
        <v>138</v>
      </c>
      <c r="P99" t="s">
        <v>40</v>
      </c>
      <c r="Q99" t="s">
        <v>47</v>
      </c>
      <c r="R99" t="s">
        <v>42</v>
      </c>
      <c r="S99">
        <v>2023</v>
      </c>
      <c r="T99" t="s">
        <v>36</v>
      </c>
      <c r="U99">
        <v>20404</v>
      </c>
      <c r="V99">
        <v>75.819999999999993</v>
      </c>
      <c r="W99">
        <v>29.21</v>
      </c>
      <c r="X99">
        <v>15.44</v>
      </c>
      <c r="Y99">
        <v>40.51</v>
      </c>
    </row>
    <row r="100" spans="1:25" x14ac:dyDescent="0.3">
      <c r="A100" t="s">
        <v>148</v>
      </c>
      <c r="B100" t="str">
        <f t="shared" si="1"/>
        <v>Sep</v>
      </c>
      <c r="C100" t="s">
        <v>49</v>
      </c>
      <c r="D100" t="s">
        <v>50</v>
      </c>
      <c r="E100">
        <v>271599263056.94</v>
      </c>
      <c r="F100">
        <v>24780.98</v>
      </c>
      <c r="G100">
        <v>1621845156.1099999</v>
      </c>
      <c r="H100">
        <v>13092617</v>
      </c>
      <c r="I100">
        <v>16201865</v>
      </c>
      <c r="J100">
        <v>17086050</v>
      </c>
      <c r="K100">
        <v>20.02</v>
      </c>
      <c r="L100">
        <v>3.76</v>
      </c>
      <c r="M100">
        <v>-18.7</v>
      </c>
      <c r="N100">
        <v>-25.74</v>
      </c>
      <c r="O100">
        <v>93</v>
      </c>
      <c r="P100" t="s">
        <v>51</v>
      </c>
      <c r="Q100" t="s">
        <v>28</v>
      </c>
      <c r="R100" t="s">
        <v>64</v>
      </c>
      <c r="S100">
        <v>2014</v>
      </c>
      <c r="T100" t="s">
        <v>36</v>
      </c>
      <c r="U100">
        <v>39821</v>
      </c>
      <c r="V100">
        <v>66.28</v>
      </c>
      <c r="W100">
        <v>33.4</v>
      </c>
      <c r="X100">
        <v>60.12</v>
      </c>
      <c r="Y100">
        <v>51.05</v>
      </c>
    </row>
    <row r="101" spans="1:25" x14ac:dyDescent="0.3">
      <c r="A101" t="s">
        <v>149</v>
      </c>
      <c r="B101" t="str">
        <f t="shared" si="1"/>
        <v>Sep</v>
      </c>
      <c r="C101" t="s">
        <v>25</v>
      </c>
      <c r="D101" t="s">
        <v>26</v>
      </c>
      <c r="E101">
        <v>749993552931</v>
      </c>
      <c r="F101">
        <v>54112.54</v>
      </c>
      <c r="G101">
        <v>16010966160.6</v>
      </c>
      <c r="H101">
        <v>7654682</v>
      </c>
      <c r="I101">
        <v>12290438</v>
      </c>
      <c r="J101">
        <v>12537507</v>
      </c>
      <c r="K101">
        <v>14.61</v>
      </c>
      <c r="L101">
        <v>3.18</v>
      </c>
      <c r="M101">
        <v>-12.13</v>
      </c>
      <c r="N101">
        <v>15.86</v>
      </c>
      <c r="O101">
        <v>91</v>
      </c>
      <c r="P101" t="s">
        <v>51</v>
      </c>
      <c r="Q101" t="s">
        <v>28</v>
      </c>
      <c r="R101" t="s">
        <v>35</v>
      </c>
      <c r="S101">
        <v>2016</v>
      </c>
      <c r="T101" t="s">
        <v>30</v>
      </c>
      <c r="U101">
        <v>3594</v>
      </c>
      <c r="V101">
        <v>36.9</v>
      </c>
      <c r="W101">
        <v>89.78</v>
      </c>
      <c r="X101">
        <v>47.15</v>
      </c>
      <c r="Y101">
        <v>57.83</v>
      </c>
    </row>
    <row r="102" spans="1:25" x14ac:dyDescent="0.3">
      <c r="A102" t="s">
        <v>150</v>
      </c>
      <c r="B102" t="str">
        <f t="shared" si="1"/>
        <v>Aug</v>
      </c>
      <c r="C102" t="s">
        <v>32</v>
      </c>
      <c r="D102" t="s">
        <v>33</v>
      </c>
      <c r="E102">
        <v>869307814388.53003</v>
      </c>
      <c r="F102">
        <v>37674.879999999997</v>
      </c>
      <c r="G102">
        <v>3220003452.9499998</v>
      </c>
      <c r="H102">
        <v>1275255</v>
      </c>
      <c r="I102">
        <v>1319401</v>
      </c>
      <c r="J102">
        <v>1529177</v>
      </c>
      <c r="K102">
        <v>43.94</v>
      </c>
      <c r="L102">
        <v>-2.3199999999999998</v>
      </c>
      <c r="M102">
        <v>-10.26</v>
      </c>
      <c r="N102">
        <v>3.48</v>
      </c>
      <c r="O102">
        <v>3</v>
      </c>
      <c r="P102" t="s">
        <v>46</v>
      </c>
      <c r="Q102" t="s">
        <v>34</v>
      </c>
      <c r="R102" t="s">
        <v>29</v>
      </c>
      <c r="S102">
        <v>2011</v>
      </c>
      <c r="T102" t="s">
        <v>36</v>
      </c>
      <c r="U102">
        <v>55246</v>
      </c>
      <c r="V102">
        <v>15.79</v>
      </c>
      <c r="W102">
        <v>96.19</v>
      </c>
      <c r="X102">
        <v>65.17</v>
      </c>
      <c r="Y102">
        <v>66.510000000000005</v>
      </c>
    </row>
    <row r="103" spans="1:25" x14ac:dyDescent="0.3">
      <c r="A103" t="s">
        <v>110</v>
      </c>
      <c r="B103" t="str">
        <f t="shared" si="1"/>
        <v>Aug</v>
      </c>
      <c r="C103" t="s">
        <v>90</v>
      </c>
      <c r="D103" t="s">
        <v>91</v>
      </c>
      <c r="E103">
        <v>488354000362.07001</v>
      </c>
      <c r="F103">
        <v>68338.83</v>
      </c>
      <c r="G103">
        <v>37504524479.919998</v>
      </c>
      <c r="H103">
        <v>3515711</v>
      </c>
      <c r="I103">
        <v>6116860</v>
      </c>
      <c r="J103">
        <v>6591872</v>
      </c>
      <c r="K103">
        <v>2.0299999999999998</v>
      </c>
      <c r="L103">
        <v>-4.1500000000000004</v>
      </c>
      <c r="M103">
        <v>-0.09</v>
      </c>
      <c r="N103">
        <v>27.62</v>
      </c>
      <c r="O103">
        <v>55</v>
      </c>
      <c r="P103" t="s">
        <v>51</v>
      </c>
      <c r="Q103" t="s">
        <v>41</v>
      </c>
      <c r="R103" t="s">
        <v>74</v>
      </c>
      <c r="S103">
        <v>2014</v>
      </c>
      <c r="T103" t="s">
        <v>30</v>
      </c>
      <c r="U103">
        <v>3931</v>
      </c>
      <c r="V103">
        <v>82.75</v>
      </c>
      <c r="W103">
        <v>28.69</v>
      </c>
      <c r="X103">
        <v>59.9</v>
      </c>
      <c r="Y103">
        <v>93.71</v>
      </c>
    </row>
    <row r="104" spans="1:25" x14ac:dyDescent="0.3">
      <c r="A104" t="s">
        <v>151</v>
      </c>
      <c r="B104" t="str">
        <f t="shared" si="1"/>
        <v>Nov</v>
      </c>
      <c r="C104" t="s">
        <v>90</v>
      </c>
      <c r="D104" t="s">
        <v>91</v>
      </c>
      <c r="E104">
        <v>769288719400.35999</v>
      </c>
      <c r="F104">
        <v>17217.38</v>
      </c>
      <c r="G104">
        <v>22153043240.220001</v>
      </c>
      <c r="H104">
        <v>16605091</v>
      </c>
      <c r="I104">
        <v>18161925</v>
      </c>
      <c r="J104">
        <v>18732905</v>
      </c>
      <c r="K104">
        <v>58.4</v>
      </c>
      <c r="L104">
        <v>-2.33</v>
      </c>
      <c r="M104">
        <v>13.11</v>
      </c>
      <c r="N104">
        <v>-36.08</v>
      </c>
      <c r="O104">
        <v>85</v>
      </c>
      <c r="P104" t="s">
        <v>27</v>
      </c>
      <c r="Q104" t="s">
        <v>57</v>
      </c>
      <c r="R104" t="s">
        <v>74</v>
      </c>
      <c r="S104">
        <v>2021</v>
      </c>
      <c r="T104" t="s">
        <v>30</v>
      </c>
      <c r="U104">
        <v>21448</v>
      </c>
      <c r="V104">
        <v>66.75</v>
      </c>
      <c r="W104">
        <v>64.66</v>
      </c>
      <c r="X104">
        <v>10.99</v>
      </c>
      <c r="Y104">
        <v>61.72</v>
      </c>
    </row>
    <row r="105" spans="1:25" x14ac:dyDescent="0.3">
      <c r="A105" t="s">
        <v>152</v>
      </c>
      <c r="B105" t="str">
        <f t="shared" si="1"/>
        <v>Dec</v>
      </c>
      <c r="C105" t="s">
        <v>60</v>
      </c>
      <c r="D105" t="s">
        <v>61</v>
      </c>
      <c r="E105">
        <v>21431373858.049999</v>
      </c>
      <c r="F105">
        <v>56584.24</v>
      </c>
      <c r="G105">
        <v>49438037199.769997</v>
      </c>
      <c r="H105">
        <v>15357266</v>
      </c>
      <c r="I105">
        <v>15415582</v>
      </c>
      <c r="J105">
        <v>16241599</v>
      </c>
      <c r="K105">
        <v>5.94</v>
      </c>
      <c r="L105">
        <v>3.77</v>
      </c>
      <c r="M105">
        <v>-14.71</v>
      </c>
      <c r="N105">
        <v>39.68</v>
      </c>
      <c r="O105">
        <v>137</v>
      </c>
      <c r="P105" t="s">
        <v>40</v>
      </c>
      <c r="Q105" t="s">
        <v>28</v>
      </c>
      <c r="R105" t="s">
        <v>64</v>
      </c>
      <c r="S105">
        <v>2022</v>
      </c>
      <c r="T105" t="s">
        <v>30</v>
      </c>
      <c r="U105">
        <v>22918</v>
      </c>
      <c r="V105">
        <v>87.52</v>
      </c>
      <c r="W105">
        <v>49.69</v>
      </c>
      <c r="X105">
        <v>51.64</v>
      </c>
      <c r="Y105">
        <v>46.47</v>
      </c>
    </row>
    <row r="106" spans="1:25" x14ac:dyDescent="0.3">
      <c r="A106" t="s">
        <v>153</v>
      </c>
      <c r="B106" t="str">
        <f t="shared" si="1"/>
        <v>Jan</v>
      </c>
      <c r="C106" t="s">
        <v>44</v>
      </c>
      <c r="D106" t="s">
        <v>45</v>
      </c>
      <c r="E106">
        <v>686930879670.85999</v>
      </c>
      <c r="F106">
        <v>23770.07</v>
      </c>
      <c r="G106">
        <v>16459188409.969999</v>
      </c>
      <c r="H106">
        <v>13006816</v>
      </c>
      <c r="I106">
        <v>13089534</v>
      </c>
      <c r="J106">
        <v>13177661</v>
      </c>
      <c r="K106">
        <v>49.45</v>
      </c>
      <c r="L106">
        <v>4.58</v>
      </c>
      <c r="M106">
        <v>-10.01</v>
      </c>
      <c r="N106">
        <v>-1.23</v>
      </c>
      <c r="O106">
        <v>106</v>
      </c>
      <c r="P106" t="s">
        <v>53</v>
      </c>
      <c r="Q106" t="s">
        <v>47</v>
      </c>
      <c r="R106" t="s">
        <v>42</v>
      </c>
      <c r="S106">
        <v>2019</v>
      </c>
      <c r="T106" t="s">
        <v>36</v>
      </c>
      <c r="U106">
        <v>50800</v>
      </c>
      <c r="V106">
        <v>60.34</v>
      </c>
      <c r="W106">
        <v>62.43</v>
      </c>
      <c r="X106">
        <v>82.93</v>
      </c>
      <c r="Y106">
        <v>94.19</v>
      </c>
    </row>
    <row r="107" spans="1:25" x14ac:dyDescent="0.3">
      <c r="A107" t="s">
        <v>154</v>
      </c>
      <c r="B107" t="str">
        <f t="shared" si="1"/>
        <v>Mar</v>
      </c>
      <c r="C107" t="s">
        <v>44</v>
      </c>
      <c r="D107" t="s">
        <v>45</v>
      </c>
      <c r="E107">
        <v>463121796910.48999</v>
      </c>
      <c r="F107">
        <v>23288.66</v>
      </c>
      <c r="G107">
        <v>30651907506.040001</v>
      </c>
      <c r="H107">
        <v>13363290</v>
      </c>
      <c r="I107">
        <v>17910150</v>
      </c>
      <c r="J107">
        <v>18567763</v>
      </c>
      <c r="K107">
        <v>52.26</v>
      </c>
      <c r="L107">
        <v>4.16</v>
      </c>
      <c r="M107">
        <v>-13.26</v>
      </c>
      <c r="N107">
        <v>31.67</v>
      </c>
      <c r="O107">
        <v>123</v>
      </c>
      <c r="P107" t="s">
        <v>27</v>
      </c>
      <c r="Q107" t="s">
        <v>47</v>
      </c>
      <c r="R107" t="s">
        <v>74</v>
      </c>
      <c r="S107">
        <v>2021</v>
      </c>
      <c r="T107" t="s">
        <v>36</v>
      </c>
      <c r="U107">
        <v>28106</v>
      </c>
      <c r="V107">
        <v>52.03</v>
      </c>
      <c r="W107">
        <v>28.58</v>
      </c>
      <c r="X107">
        <v>45.3</v>
      </c>
      <c r="Y107">
        <v>70.099999999999994</v>
      </c>
    </row>
    <row r="108" spans="1:25" x14ac:dyDescent="0.3">
      <c r="A108" t="s">
        <v>155</v>
      </c>
      <c r="B108" t="str">
        <f t="shared" si="1"/>
        <v>Dec</v>
      </c>
      <c r="C108" t="s">
        <v>78</v>
      </c>
      <c r="D108" t="s">
        <v>79</v>
      </c>
      <c r="E108">
        <v>811525417803.06995</v>
      </c>
      <c r="F108">
        <v>62413.52</v>
      </c>
      <c r="G108">
        <v>29286442854.869999</v>
      </c>
      <c r="H108">
        <v>6128086</v>
      </c>
      <c r="I108">
        <v>10787557</v>
      </c>
      <c r="J108">
        <v>11649148</v>
      </c>
      <c r="K108">
        <v>1.1599999999999999</v>
      </c>
      <c r="L108">
        <v>2.86</v>
      </c>
      <c r="M108">
        <v>-14.25</v>
      </c>
      <c r="N108">
        <v>-3.54</v>
      </c>
      <c r="O108">
        <v>72</v>
      </c>
      <c r="P108" t="s">
        <v>51</v>
      </c>
      <c r="Q108" t="s">
        <v>28</v>
      </c>
      <c r="R108" t="s">
        <v>29</v>
      </c>
      <c r="S108">
        <v>2015</v>
      </c>
      <c r="T108" t="s">
        <v>36</v>
      </c>
      <c r="U108">
        <v>45932</v>
      </c>
      <c r="V108">
        <v>86.14</v>
      </c>
      <c r="W108">
        <v>75.87</v>
      </c>
      <c r="X108">
        <v>49.99</v>
      </c>
      <c r="Y108">
        <v>26.78</v>
      </c>
    </row>
    <row r="109" spans="1:25" x14ac:dyDescent="0.3">
      <c r="A109" t="s">
        <v>133</v>
      </c>
      <c r="B109" t="str">
        <f t="shared" si="1"/>
        <v>Jan</v>
      </c>
      <c r="C109" t="s">
        <v>32</v>
      </c>
      <c r="D109" t="s">
        <v>33</v>
      </c>
      <c r="E109">
        <v>207284732589.51999</v>
      </c>
      <c r="F109">
        <v>68756.800000000003</v>
      </c>
      <c r="G109">
        <v>33860004246.529999</v>
      </c>
      <c r="H109">
        <v>2784123</v>
      </c>
      <c r="I109">
        <v>5873418</v>
      </c>
      <c r="J109">
        <v>6171821</v>
      </c>
      <c r="K109">
        <v>31.11</v>
      </c>
      <c r="L109">
        <v>2.86</v>
      </c>
      <c r="M109">
        <v>-12.72</v>
      </c>
      <c r="N109">
        <v>28.8</v>
      </c>
      <c r="O109">
        <v>171</v>
      </c>
      <c r="P109" t="s">
        <v>40</v>
      </c>
      <c r="Q109" t="s">
        <v>47</v>
      </c>
      <c r="R109" t="s">
        <v>29</v>
      </c>
      <c r="S109">
        <v>2016</v>
      </c>
      <c r="T109" t="s">
        <v>36</v>
      </c>
      <c r="U109">
        <v>32026</v>
      </c>
      <c r="V109">
        <v>20.72</v>
      </c>
      <c r="W109">
        <v>61.4</v>
      </c>
      <c r="X109">
        <v>88.87</v>
      </c>
      <c r="Y109">
        <v>12.39</v>
      </c>
    </row>
    <row r="110" spans="1:25" x14ac:dyDescent="0.3">
      <c r="A110" t="s">
        <v>146</v>
      </c>
      <c r="B110" t="str">
        <f t="shared" si="1"/>
        <v>Jun</v>
      </c>
      <c r="C110" t="s">
        <v>38</v>
      </c>
      <c r="D110" t="s">
        <v>39</v>
      </c>
      <c r="E110">
        <v>556251515482.48999</v>
      </c>
      <c r="F110">
        <v>20816.349999999999</v>
      </c>
      <c r="G110">
        <v>25373436775.549999</v>
      </c>
      <c r="H110">
        <v>4804072</v>
      </c>
      <c r="I110">
        <v>8741711</v>
      </c>
      <c r="J110">
        <v>9005966</v>
      </c>
      <c r="K110">
        <v>39.83</v>
      </c>
      <c r="L110">
        <v>-2.65</v>
      </c>
      <c r="M110">
        <v>-3.85</v>
      </c>
      <c r="N110">
        <v>-20.77</v>
      </c>
      <c r="O110">
        <v>45</v>
      </c>
      <c r="P110" t="s">
        <v>27</v>
      </c>
      <c r="Q110" t="s">
        <v>41</v>
      </c>
      <c r="R110" t="s">
        <v>35</v>
      </c>
      <c r="S110">
        <v>2022</v>
      </c>
      <c r="T110" t="s">
        <v>36</v>
      </c>
      <c r="U110">
        <v>14720</v>
      </c>
      <c r="V110">
        <v>49.51</v>
      </c>
      <c r="W110">
        <v>22.74</v>
      </c>
      <c r="X110">
        <v>13.24</v>
      </c>
      <c r="Y110">
        <v>98.38</v>
      </c>
    </row>
    <row r="111" spans="1:25" x14ac:dyDescent="0.3">
      <c r="A111" t="s">
        <v>156</v>
      </c>
      <c r="B111" t="str">
        <f t="shared" si="1"/>
        <v>Feb</v>
      </c>
      <c r="C111" t="s">
        <v>25</v>
      </c>
      <c r="D111" t="s">
        <v>26</v>
      </c>
      <c r="E111">
        <v>117857247652.74001</v>
      </c>
      <c r="F111">
        <v>39754.29</v>
      </c>
      <c r="G111">
        <v>9062793906.9799995</v>
      </c>
      <c r="H111">
        <v>16193719</v>
      </c>
      <c r="I111">
        <v>19867240</v>
      </c>
      <c r="J111">
        <v>20668988</v>
      </c>
      <c r="K111">
        <v>2.38</v>
      </c>
      <c r="L111">
        <v>-1.71</v>
      </c>
      <c r="M111">
        <v>-12.01</v>
      </c>
      <c r="N111">
        <v>5.8</v>
      </c>
      <c r="O111">
        <v>66</v>
      </c>
      <c r="P111" t="s">
        <v>46</v>
      </c>
      <c r="Q111" t="s">
        <v>41</v>
      </c>
      <c r="R111" t="s">
        <v>29</v>
      </c>
      <c r="S111">
        <v>2016</v>
      </c>
      <c r="T111" t="s">
        <v>30</v>
      </c>
      <c r="U111">
        <v>40203</v>
      </c>
      <c r="V111">
        <v>70.81</v>
      </c>
      <c r="W111">
        <v>63.86</v>
      </c>
      <c r="X111">
        <v>30.24</v>
      </c>
      <c r="Y111">
        <v>68.989999999999995</v>
      </c>
    </row>
    <row r="112" spans="1:25" x14ac:dyDescent="0.3">
      <c r="A112" t="s">
        <v>157</v>
      </c>
      <c r="B112" t="str">
        <f t="shared" si="1"/>
        <v>Jan</v>
      </c>
      <c r="C112" t="s">
        <v>38</v>
      </c>
      <c r="D112" t="s">
        <v>39</v>
      </c>
      <c r="E112">
        <v>592081696274.87</v>
      </c>
      <c r="F112">
        <v>2025.76</v>
      </c>
      <c r="G112">
        <v>32880021187.450001</v>
      </c>
      <c r="H112">
        <v>7185537</v>
      </c>
      <c r="I112">
        <v>11771104</v>
      </c>
      <c r="J112">
        <v>11994248</v>
      </c>
      <c r="K112">
        <v>59</v>
      </c>
      <c r="L112">
        <v>4.79</v>
      </c>
      <c r="M112">
        <v>17</v>
      </c>
      <c r="N112">
        <v>-26.49</v>
      </c>
      <c r="O112">
        <v>179</v>
      </c>
      <c r="P112" t="s">
        <v>51</v>
      </c>
      <c r="Q112" t="s">
        <v>47</v>
      </c>
      <c r="R112" t="s">
        <v>29</v>
      </c>
      <c r="S112">
        <v>2014</v>
      </c>
      <c r="T112" t="s">
        <v>36</v>
      </c>
      <c r="U112">
        <v>10509</v>
      </c>
      <c r="V112">
        <v>53.01</v>
      </c>
      <c r="W112">
        <v>50.37</v>
      </c>
      <c r="X112">
        <v>46.57</v>
      </c>
      <c r="Y112">
        <v>61.31</v>
      </c>
    </row>
    <row r="113" spans="1:25" x14ac:dyDescent="0.3">
      <c r="A113" t="s">
        <v>158</v>
      </c>
      <c r="B113" t="str">
        <f t="shared" si="1"/>
        <v>Jul</v>
      </c>
      <c r="C113" t="s">
        <v>38</v>
      </c>
      <c r="D113" t="s">
        <v>39</v>
      </c>
      <c r="E113">
        <v>558069857357.01001</v>
      </c>
      <c r="F113">
        <v>64457.87</v>
      </c>
      <c r="G113">
        <v>22389429332.779999</v>
      </c>
      <c r="H113">
        <v>8165491</v>
      </c>
      <c r="I113">
        <v>9001543</v>
      </c>
      <c r="J113">
        <v>9625582</v>
      </c>
      <c r="K113">
        <v>45.94</v>
      </c>
      <c r="L113">
        <v>3.49</v>
      </c>
      <c r="M113">
        <v>7.33</v>
      </c>
      <c r="N113">
        <v>-4.12</v>
      </c>
      <c r="O113">
        <v>112</v>
      </c>
      <c r="P113" t="s">
        <v>46</v>
      </c>
      <c r="Q113" t="s">
        <v>47</v>
      </c>
      <c r="R113" t="s">
        <v>64</v>
      </c>
      <c r="S113">
        <v>2019</v>
      </c>
      <c r="T113" t="s">
        <v>36</v>
      </c>
      <c r="U113">
        <v>7365</v>
      </c>
      <c r="V113">
        <v>53.4</v>
      </c>
      <c r="W113">
        <v>64.400000000000006</v>
      </c>
      <c r="X113">
        <v>19.66</v>
      </c>
      <c r="Y113">
        <v>90.43</v>
      </c>
    </row>
    <row r="114" spans="1:25" x14ac:dyDescent="0.3">
      <c r="A114" t="s">
        <v>159</v>
      </c>
      <c r="B114" t="str">
        <f t="shared" si="1"/>
        <v>Oct</v>
      </c>
      <c r="C114" t="s">
        <v>55</v>
      </c>
      <c r="D114" t="s">
        <v>56</v>
      </c>
      <c r="E114">
        <v>534627227045.83002</v>
      </c>
      <c r="F114">
        <v>11571.54</v>
      </c>
      <c r="G114">
        <v>24442951799.970001</v>
      </c>
      <c r="H114">
        <v>6838150</v>
      </c>
      <c r="I114">
        <v>7904809</v>
      </c>
      <c r="J114">
        <v>7920535</v>
      </c>
      <c r="K114">
        <v>15.14</v>
      </c>
      <c r="L114">
        <v>3.01</v>
      </c>
      <c r="M114">
        <v>5.52</v>
      </c>
      <c r="N114">
        <v>-17.32</v>
      </c>
      <c r="O114">
        <v>54</v>
      </c>
      <c r="P114" t="s">
        <v>53</v>
      </c>
      <c r="Q114" t="s">
        <v>28</v>
      </c>
      <c r="R114" t="s">
        <v>29</v>
      </c>
      <c r="S114">
        <v>2020</v>
      </c>
      <c r="T114" t="s">
        <v>58</v>
      </c>
      <c r="U114">
        <v>60849</v>
      </c>
      <c r="V114">
        <v>21.06</v>
      </c>
      <c r="W114">
        <v>32.479999999999997</v>
      </c>
      <c r="X114">
        <v>38.619999999999997</v>
      </c>
      <c r="Y114">
        <v>59.93</v>
      </c>
    </row>
    <row r="115" spans="1:25" x14ac:dyDescent="0.3">
      <c r="A115" t="s">
        <v>160</v>
      </c>
      <c r="B115" t="str">
        <f t="shared" si="1"/>
        <v>Aug</v>
      </c>
      <c r="C115" t="s">
        <v>60</v>
      </c>
      <c r="D115" t="s">
        <v>61</v>
      </c>
      <c r="E115">
        <v>841426628431.43994</v>
      </c>
      <c r="F115">
        <v>41761.49</v>
      </c>
      <c r="G115">
        <v>5335584620.3199997</v>
      </c>
      <c r="H115">
        <v>18373486</v>
      </c>
      <c r="I115">
        <v>19182699</v>
      </c>
      <c r="J115">
        <v>20017779</v>
      </c>
      <c r="K115">
        <v>45.24</v>
      </c>
      <c r="L115">
        <v>-2.3199999999999998</v>
      </c>
      <c r="M115">
        <v>8.5299999999999994</v>
      </c>
      <c r="N115">
        <v>-6.42</v>
      </c>
      <c r="O115">
        <v>94</v>
      </c>
      <c r="P115" t="s">
        <v>27</v>
      </c>
      <c r="Q115" t="s">
        <v>28</v>
      </c>
      <c r="R115" t="s">
        <v>29</v>
      </c>
      <c r="S115">
        <v>2019</v>
      </c>
      <c r="T115" t="s">
        <v>30</v>
      </c>
      <c r="U115">
        <v>57114</v>
      </c>
      <c r="V115">
        <v>92.45</v>
      </c>
      <c r="W115">
        <v>95.71</v>
      </c>
      <c r="X115">
        <v>10.35</v>
      </c>
      <c r="Y115">
        <v>77.48</v>
      </c>
    </row>
    <row r="116" spans="1:25" x14ac:dyDescent="0.3">
      <c r="A116" t="s">
        <v>161</v>
      </c>
      <c r="B116" t="str">
        <f t="shared" si="1"/>
        <v>Jul</v>
      </c>
      <c r="C116" t="s">
        <v>68</v>
      </c>
      <c r="D116" t="s">
        <v>69</v>
      </c>
      <c r="E116">
        <v>361378822844.21002</v>
      </c>
      <c r="F116">
        <v>4896.6000000000004</v>
      </c>
      <c r="G116">
        <v>41382588034.540001</v>
      </c>
      <c r="H116">
        <v>9430901</v>
      </c>
      <c r="I116">
        <v>14206223</v>
      </c>
      <c r="J116">
        <v>14991231</v>
      </c>
      <c r="K116">
        <v>53.5</v>
      </c>
      <c r="L116">
        <v>-2.12</v>
      </c>
      <c r="M116">
        <v>-7.26</v>
      </c>
      <c r="N116">
        <v>-39.72</v>
      </c>
      <c r="O116">
        <v>57</v>
      </c>
      <c r="P116" t="s">
        <v>53</v>
      </c>
      <c r="Q116" t="s">
        <v>34</v>
      </c>
      <c r="R116" t="s">
        <v>42</v>
      </c>
      <c r="S116">
        <v>2016</v>
      </c>
      <c r="T116" t="s">
        <v>36</v>
      </c>
      <c r="U116">
        <v>63217</v>
      </c>
      <c r="V116">
        <v>99.49</v>
      </c>
      <c r="W116">
        <v>50.64</v>
      </c>
      <c r="X116">
        <v>67.010000000000005</v>
      </c>
      <c r="Y116">
        <v>74.62</v>
      </c>
    </row>
    <row r="117" spans="1:25" x14ac:dyDescent="0.3">
      <c r="A117" t="s">
        <v>162</v>
      </c>
      <c r="B117" t="str">
        <f t="shared" si="1"/>
        <v>Oct</v>
      </c>
      <c r="C117" t="s">
        <v>78</v>
      </c>
      <c r="D117" t="s">
        <v>79</v>
      </c>
      <c r="E117">
        <v>661913707578.51001</v>
      </c>
      <c r="F117">
        <v>53722.89</v>
      </c>
      <c r="G117">
        <v>21303951626.509998</v>
      </c>
      <c r="H117">
        <v>13058998</v>
      </c>
      <c r="I117">
        <v>17317975</v>
      </c>
      <c r="J117">
        <v>18220015</v>
      </c>
      <c r="K117">
        <v>55.09</v>
      </c>
      <c r="L117">
        <v>-4.16</v>
      </c>
      <c r="M117">
        <v>-17.2</v>
      </c>
      <c r="N117">
        <v>-33.74</v>
      </c>
      <c r="O117">
        <v>198</v>
      </c>
      <c r="P117" t="s">
        <v>51</v>
      </c>
      <c r="Q117" t="s">
        <v>28</v>
      </c>
      <c r="R117" t="s">
        <v>64</v>
      </c>
      <c r="S117">
        <v>2010</v>
      </c>
      <c r="T117" t="s">
        <v>36</v>
      </c>
      <c r="U117">
        <v>20926</v>
      </c>
      <c r="V117">
        <v>50.88</v>
      </c>
      <c r="W117">
        <v>24</v>
      </c>
      <c r="X117">
        <v>33.46</v>
      </c>
      <c r="Y117">
        <v>11.82</v>
      </c>
    </row>
    <row r="118" spans="1:25" x14ac:dyDescent="0.3">
      <c r="A118" t="s">
        <v>121</v>
      </c>
      <c r="B118" t="str">
        <f t="shared" si="1"/>
        <v>Mar</v>
      </c>
      <c r="C118" t="s">
        <v>25</v>
      </c>
      <c r="D118" t="s">
        <v>26</v>
      </c>
      <c r="E118">
        <v>258312878151.53</v>
      </c>
      <c r="F118">
        <v>32770.61</v>
      </c>
      <c r="G118">
        <v>32183547154.41</v>
      </c>
      <c r="H118">
        <v>11308988</v>
      </c>
      <c r="I118">
        <v>14007962</v>
      </c>
      <c r="J118">
        <v>14390613</v>
      </c>
      <c r="K118">
        <v>17.149999999999999</v>
      </c>
      <c r="L118">
        <v>3.63</v>
      </c>
      <c r="M118">
        <v>-12.39</v>
      </c>
      <c r="N118">
        <v>-14.66</v>
      </c>
      <c r="O118">
        <v>184</v>
      </c>
      <c r="P118" t="s">
        <v>27</v>
      </c>
      <c r="Q118" t="s">
        <v>57</v>
      </c>
      <c r="R118" t="s">
        <v>35</v>
      </c>
      <c r="S118">
        <v>2021</v>
      </c>
      <c r="T118" t="s">
        <v>30</v>
      </c>
      <c r="U118">
        <v>33038</v>
      </c>
      <c r="V118">
        <v>73.989999999999995</v>
      </c>
      <c r="W118">
        <v>62.16</v>
      </c>
      <c r="X118">
        <v>40.229999999999997</v>
      </c>
      <c r="Y118">
        <v>89.43</v>
      </c>
    </row>
    <row r="119" spans="1:25" x14ac:dyDescent="0.3">
      <c r="A119" t="s">
        <v>163</v>
      </c>
      <c r="B119" t="str">
        <f t="shared" si="1"/>
        <v>Oct</v>
      </c>
      <c r="C119" t="s">
        <v>32</v>
      </c>
      <c r="D119" t="s">
        <v>33</v>
      </c>
      <c r="E119">
        <v>197286782940.98999</v>
      </c>
      <c r="F119">
        <v>42564.91</v>
      </c>
      <c r="G119">
        <v>27081600120.860001</v>
      </c>
      <c r="H119">
        <v>14113877</v>
      </c>
      <c r="I119">
        <v>18372284</v>
      </c>
      <c r="J119">
        <v>18912464</v>
      </c>
      <c r="K119">
        <v>22.24</v>
      </c>
      <c r="L119">
        <v>-2.0699999999999998</v>
      </c>
      <c r="M119">
        <v>5.07</v>
      </c>
      <c r="N119">
        <v>2.12</v>
      </c>
      <c r="O119">
        <v>18</v>
      </c>
      <c r="P119" t="s">
        <v>46</v>
      </c>
      <c r="Q119" t="s">
        <v>57</v>
      </c>
      <c r="R119" t="s">
        <v>42</v>
      </c>
      <c r="S119">
        <v>2020</v>
      </c>
      <c r="T119" t="s">
        <v>36</v>
      </c>
      <c r="U119">
        <v>5140</v>
      </c>
      <c r="V119">
        <v>81.22</v>
      </c>
      <c r="W119">
        <v>66.14</v>
      </c>
      <c r="X119">
        <v>81.62</v>
      </c>
      <c r="Y119">
        <v>16.77</v>
      </c>
    </row>
    <row r="120" spans="1:25" x14ac:dyDescent="0.3">
      <c r="A120" t="s">
        <v>164</v>
      </c>
      <c r="B120" t="str">
        <f t="shared" si="1"/>
        <v>Sep</v>
      </c>
      <c r="C120" t="s">
        <v>60</v>
      </c>
      <c r="D120" t="s">
        <v>61</v>
      </c>
      <c r="E120">
        <v>263107260599.51999</v>
      </c>
      <c r="F120">
        <v>51193.24</v>
      </c>
      <c r="G120">
        <v>47919611085.43</v>
      </c>
      <c r="H120">
        <v>1174539</v>
      </c>
      <c r="I120">
        <v>4537044</v>
      </c>
      <c r="J120">
        <v>5455738</v>
      </c>
      <c r="K120">
        <v>40.96</v>
      </c>
      <c r="L120">
        <v>4.7300000000000004</v>
      </c>
      <c r="M120">
        <v>0.77</v>
      </c>
      <c r="N120">
        <v>-3.7</v>
      </c>
      <c r="O120">
        <v>97</v>
      </c>
      <c r="P120" t="s">
        <v>27</v>
      </c>
      <c r="Q120" t="s">
        <v>41</v>
      </c>
      <c r="R120" t="s">
        <v>29</v>
      </c>
      <c r="S120">
        <v>2013</v>
      </c>
      <c r="T120" t="s">
        <v>30</v>
      </c>
      <c r="U120">
        <v>1816</v>
      </c>
      <c r="V120">
        <v>62.82</v>
      </c>
      <c r="W120">
        <v>87.14</v>
      </c>
      <c r="X120">
        <v>95.06</v>
      </c>
      <c r="Y120">
        <v>69.599999999999994</v>
      </c>
    </row>
    <row r="121" spans="1:25" x14ac:dyDescent="0.3">
      <c r="A121" t="s">
        <v>165</v>
      </c>
      <c r="B121" t="str">
        <f t="shared" si="1"/>
        <v>Jul</v>
      </c>
      <c r="C121" t="s">
        <v>60</v>
      </c>
      <c r="D121" t="s">
        <v>61</v>
      </c>
      <c r="E121">
        <v>176804418726.70999</v>
      </c>
      <c r="F121">
        <v>59823.07</v>
      </c>
      <c r="G121">
        <v>17794011132.18</v>
      </c>
      <c r="H121">
        <v>17026745</v>
      </c>
      <c r="I121">
        <v>21738678</v>
      </c>
      <c r="J121">
        <v>21967051</v>
      </c>
      <c r="K121">
        <v>55.92</v>
      </c>
      <c r="L121">
        <v>-3.03</v>
      </c>
      <c r="M121">
        <v>-17.32</v>
      </c>
      <c r="N121">
        <v>39.67</v>
      </c>
      <c r="O121">
        <v>161</v>
      </c>
      <c r="P121" t="s">
        <v>53</v>
      </c>
      <c r="Q121" t="s">
        <v>34</v>
      </c>
      <c r="R121" t="s">
        <v>64</v>
      </c>
      <c r="S121">
        <v>2011</v>
      </c>
      <c r="T121" t="s">
        <v>30</v>
      </c>
      <c r="U121">
        <v>25221</v>
      </c>
      <c r="V121">
        <v>20.65</v>
      </c>
      <c r="W121">
        <v>81.12</v>
      </c>
      <c r="X121">
        <v>67.48</v>
      </c>
      <c r="Y121">
        <v>81.260000000000005</v>
      </c>
    </row>
    <row r="122" spans="1:25" x14ac:dyDescent="0.3">
      <c r="A122" t="s">
        <v>166</v>
      </c>
      <c r="B122" t="str">
        <f t="shared" si="1"/>
        <v>Nov</v>
      </c>
      <c r="C122" t="s">
        <v>32</v>
      </c>
      <c r="D122" t="s">
        <v>33</v>
      </c>
      <c r="E122">
        <v>436342375693.92999</v>
      </c>
      <c r="F122">
        <v>8890.8799999999992</v>
      </c>
      <c r="G122">
        <v>8951936011.8799992</v>
      </c>
      <c r="H122">
        <v>18275857</v>
      </c>
      <c r="I122">
        <v>19302374</v>
      </c>
      <c r="J122">
        <v>20133345</v>
      </c>
      <c r="K122">
        <v>7.58</v>
      </c>
      <c r="L122">
        <v>-3.48</v>
      </c>
      <c r="M122">
        <v>-12.29</v>
      </c>
      <c r="N122">
        <v>11.44</v>
      </c>
      <c r="O122">
        <v>131</v>
      </c>
      <c r="P122" t="s">
        <v>40</v>
      </c>
      <c r="Q122" t="s">
        <v>28</v>
      </c>
      <c r="R122" t="s">
        <v>64</v>
      </c>
      <c r="S122">
        <v>2015</v>
      </c>
      <c r="T122" t="s">
        <v>36</v>
      </c>
      <c r="U122">
        <v>7214</v>
      </c>
      <c r="V122">
        <v>18.32</v>
      </c>
      <c r="W122">
        <v>44.31</v>
      </c>
      <c r="X122">
        <v>64.2</v>
      </c>
      <c r="Y122">
        <v>31.45</v>
      </c>
    </row>
    <row r="123" spans="1:25" x14ac:dyDescent="0.3">
      <c r="A123" t="s">
        <v>167</v>
      </c>
      <c r="B123" t="str">
        <f t="shared" si="1"/>
        <v>Jun</v>
      </c>
      <c r="C123" t="s">
        <v>60</v>
      </c>
      <c r="D123" t="s">
        <v>61</v>
      </c>
      <c r="E123">
        <v>640966669403.96997</v>
      </c>
      <c r="F123">
        <v>4424.17</v>
      </c>
      <c r="G123">
        <v>8937405452.9300003</v>
      </c>
      <c r="H123">
        <v>10221907</v>
      </c>
      <c r="I123">
        <v>14542603</v>
      </c>
      <c r="J123">
        <v>15014085</v>
      </c>
      <c r="K123">
        <v>15.96</v>
      </c>
      <c r="L123">
        <v>-3.25</v>
      </c>
      <c r="M123">
        <v>-10.19</v>
      </c>
      <c r="N123">
        <v>5.58</v>
      </c>
      <c r="O123">
        <v>113</v>
      </c>
      <c r="P123" t="s">
        <v>40</v>
      </c>
      <c r="Q123" t="s">
        <v>41</v>
      </c>
      <c r="R123" t="s">
        <v>74</v>
      </c>
      <c r="S123">
        <v>2019</v>
      </c>
      <c r="T123" t="s">
        <v>30</v>
      </c>
      <c r="U123">
        <v>44316</v>
      </c>
      <c r="V123">
        <v>86.17</v>
      </c>
      <c r="W123">
        <v>58.05</v>
      </c>
      <c r="X123">
        <v>28.34</v>
      </c>
      <c r="Y123">
        <v>49.63</v>
      </c>
    </row>
    <row r="124" spans="1:25" x14ac:dyDescent="0.3">
      <c r="A124" t="s">
        <v>168</v>
      </c>
      <c r="B124" t="str">
        <f t="shared" si="1"/>
        <v>Apr</v>
      </c>
      <c r="C124" t="s">
        <v>32</v>
      </c>
      <c r="D124" t="s">
        <v>33</v>
      </c>
      <c r="E124">
        <v>320455578596.82001</v>
      </c>
      <c r="F124">
        <v>60593.57</v>
      </c>
      <c r="G124">
        <v>38602592995.900002</v>
      </c>
      <c r="H124">
        <v>13353930</v>
      </c>
      <c r="I124">
        <v>17778047</v>
      </c>
      <c r="J124">
        <v>18672830</v>
      </c>
      <c r="K124">
        <v>55.71</v>
      </c>
      <c r="L124">
        <v>2.13</v>
      </c>
      <c r="M124">
        <v>-8</v>
      </c>
      <c r="N124">
        <v>-24.43</v>
      </c>
      <c r="O124">
        <v>48</v>
      </c>
      <c r="P124" t="s">
        <v>46</v>
      </c>
      <c r="Q124" t="s">
        <v>34</v>
      </c>
      <c r="R124" t="s">
        <v>35</v>
      </c>
      <c r="S124">
        <v>2018</v>
      </c>
      <c r="T124" t="s">
        <v>36</v>
      </c>
      <c r="U124">
        <v>51867</v>
      </c>
      <c r="V124">
        <v>27.88</v>
      </c>
      <c r="W124">
        <v>35.56</v>
      </c>
      <c r="X124">
        <v>72.34</v>
      </c>
      <c r="Y124">
        <v>32.54</v>
      </c>
    </row>
    <row r="125" spans="1:25" x14ac:dyDescent="0.3">
      <c r="A125" t="s">
        <v>169</v>
      </c>
      <c r="B125" t="str">
        <f t="shared" si="1"/>
        <v>Apr</v>
      </c>
      <c r="C125" t="s">
        <v>38</v>
      </c>
      <c r="D125" t="s">
        <v>39</v>
      </c>
      <c r="E125">
        <v>737868006173.25</v>
      </c>
      <c r="F125">
        <v>46863.01</v>
      </c>
      <c r="G125">
        <v>37801807582.519997</v>
      </c>
      <c r="H125">
        <v>10805502</v>
      </c>
      <c r="I125">
        <v>14020960</v>
      </c>
      <c r="J125">
        <v>14898731</v>
      </c>
      <c r="K125">
        <v>46.77</v>
      </c>
      <c r="L125">
        <v>-3.44</v>
      </c>
      <c r="M125">
        <v>6.02</v>
      </c>
      <c r="N125">
        <v>20.95</v>
      </c>
      <c r="O125">
        <v>30</v>
      </c>
      <c r="P125" t="s">
        <v>46</v>
      </c>
      <c r="Q125" t="s">
        <v>57</v>
      </c>
      <c r="R125" t="s">
        <v>29</v>
      </c>
      <c r="S125">
        <v>2016</v>
      </c>
      <c r="T125" t="s">
        <v>36</v>
      </c>
      <c r="U125">
        <v>9946</v>
      </c>
      <c r="V125">
        <v>20.88</v>
      </c>
      <c r="W125">
        <v>48.59</v>
      </c>
      <c r="X125">
        <v>87.72</v>
      </c>
      <c r="Y125">
        <v>20.82</v>
      </c>
    </row>
    <row r="126" spans="1:25" x14ac:dyDescent="0.3">
      <c r="A126" t="s">
        <v>170</v>
      </c>
      <c r="B126" t="str">
        <f t="shared" si="1"/>
        <v>Sep</v>
      </c>
      <c r="C126" t="s">
        <v>55</v>
      </c>
      <c r="D126" t="s">
        <v>56</v>
      </c>
      <c r="E126">
        <v>590552331500.75</v>
      </c>
      <c r="F126">
        <v>34515.07</v>
      </c>
      <c r="G126">
        <v>14808215779.129999</v>
      </c>
      <c r="H126">
        <v>7874077</v>
      </c>
      <c r="I126">
        <v>10900745</v>
      </c>
      <c r="J126">
        <v>11169542</v>
      </c>
      <c r="K126">
        <v>4.08</v>
      </c>
      <c r="L126">
        <v>-0.68</v>
      </c>
      <c r="M126">
        <v>19.25</v>
      </c>
      <c r="N126">
        <v>-31.31</v>
      </c>
      <c r="O126">
        <v>89</v>
      </c>
      <c r="P126" t="s">
        <v>27</v>
      </c>
      <c r="Q126" t="s">
        <v>47</v>
      </c>
      <c r="R126" t="s">
        <v>42</v>
      </c>
      <c r="S126">
        <v>2013</v>
      </c>
      <c r="T126" t="s">
        <v>58</v>
      </c>
      <c r="U126">
        <v>5705</v>
      </c>
      <c r="V126">
        <v>93.99</v>
      </c>
      <c r="W126">
        <v>94.17</v>
      </c>
      <c r="X126">
        <v>79.09</v>
      </c>
      <c r="Y126">
        <v>19.73</v>
      </c>
    </row>
    <row r="127" spans="1:25" x14ac:dyDescent="0.3">
      <c r="A127" t="s">
        <v>112</v>
      </c>
      <c r="B127" t="str">
        <f t="shared" si="1"/>
        <v>Feb</v>
      </c>
      <c r="C127" t="s">
        <v>44</v>
      </c>
      <c r="D127" t="s">
        <v>45</v>
      </c>
      <c r="E127">
        <v>551908398303.04004</v>
      </c>
      <c r="F127">
        <v>36394.620000000003</v>
      </c>
      <c r="G127">
        <v>3340972106.0100002</v>
      </c>
      <c r="H127">
        <v>1035747</v>
      </c>
      <c r="I127">
        <v>3695591</v>
      </c>
      <c r="J127">
        <v>4624879</v>
      </c>
      <c r="K127">
        <v>59.36</v>
      </c>
      <c r="L127">
        <v>-4.45</v>
      </c>
      <c r="M127">
        <v>-2.93</v>
      </c>
      <c r="N127">
        <v>-26.16</v>
      </c>
      <c r="O127">
        <v>124</v>
      </c>
      <c r="P127" t="s">
        <v>40</v>
      </c>
      <c r="Q127" t="s">
        <v>57</v>
      </c>
      <c r="R127" t="s">
        <v>29</v>
      </c>
      <c r="S127">
        <v>2021</v>
      </c>
      <c r="T127" t="s">
        <v>36</v>
      </c>
      <c r="U127">
        <v>26605</v>
      </c>
      <c r="V127">
        <v>82.95</v>
      </c>
      <c r="W127">
        <v>39.770000000000003</v>
      </c>
      <c r="X127">
        <v>90.21</v>
      </c>
      <c r="Y127">
        <v>12.13</v>
      </c>
    </row>
    <row r="128" spans="1:25" x14ac:dyDescent="0.3">
      <c r="A128" t="s">
        <v>171</v>
      </c>
      <c r="B128" t="str">
        <f t="shared" si="1"/>
        <v>Nov</v>
      </c>
      <c r="C128" t="s">
        <v>38</v>
      </c>
      <c r="D128" t="s">
        <v>39</v>
      </c>
      <c r="E128">
        <v>540638933361.95001</v>
      </c>
      <c r="F128">
        <v>38434.269999999997</v>
      </c>
      <c r="G128">
        <v>26614816534.639999</v>
      </c>
      <c r="H128">
        <v>12518729</v>
      </c>
      <c r="I128">
        <v>17184012</v>
      </c>
      <c r="J128">
        <v>17890363</v>
      </c>
      <c r="K128">
        <v>12.02</v>
      </c>
      <c r="L128">
        <v>-2.21</v>
      </c>
      <c r="M128">
        <v>5.95</v>
      </c>
      <c r="N128">
        <v>-4.47</v>
      </c>
      <c r="O128">
        <v>147</v>
      </c>
      <c r="P128" t="s">
        <v>53</v>
      </c>
      <c r="Q128" t="s">
        <v>28</v>
      </c>
      <c r="R128" t="s">
        <v>29</v>
      </c>
      <c r="S128">
        <v>2010</v>
      </c>
      <c r="T128" t="s">
        <v>36</v>
      </c>
      <c r="U128">
        <v>16798</v>
      </c>
      <c r="V128">
        <v>69.19</v>
      </c>
      <c r="W128">
        <v>27.43</v>
      </c>
      <c r="X128">
        <v>37.83</v>
      </c>
      <c r="Y128">
        <v>31.38</v>
      </c>
    </row>
    <row r="129" spans="1:25" x14ac:dyDescent="0.3">
      <c r="A129" t="s">
        <v>172</v>
      </c>
      <c r="B129" t="str">
        <f t="shared" si="1"/>
        <v>Aug</v>
      </c>
      <c r="C129" t="s">
        <v>25</v>
      </c>
      <c r="D129" t="s">
        <v>26</v>
      </c>
      <c r="E129">
        <v>353964795975.37</v>
      </c>
      <c r="F129">
        <v>19661.13</v>
      </c>
      <c r="G129">
        <v>35384142922.580002</v>
      </c>
      <c r="H129">
        <v>5446268</v>
      </c>
      <c r="I129">
        <v>7752992</v>
      </c>
      <c r="J129">
        <v>8518734</v>
      </c>
      <c r="K129">
        <v>43.73</v>
      </c>
      <c r="L129">
        <v>2.89</v>
      </c>
      <c r="M129">
        <v>-14.69</v>
      </c>
      <c r="N129">
        <v>35.17</v>
      </c>
      <c r="O129">
        <v>53</v>
      </c>
      <c r="P129" t="s">
        <v>51</v>
      </c>
      <c r="Q129" t="s">
        <v>47</v>
      </c>
      <c r="R129" t="s">
        <v>35</v>
      </c>
      <c r="S129">
        <v>2012</v>
      </c>
      <c r="T129" t="s">
        <v>30</v>
      </c>
      <c r="U129">
        <v>27797</v>
      </c>
      <c r="V129">
        <v>46.39</v>
      </c>
      <c r="W129">
        <v>53.02</v>
      </c>
      <c r="X129">
        <v>52.1</v>
      </c>
      <c r="Y129">
        <v>32.47</v>
      </c>
    </row>
    <row r="130" spans="1:25" x14ac:dyDescent="0.3">
      <c r="A130" t="s">
        <v>173</v>
      </c>
      <c r="B130" t="str">
        <f t="shared" ref="B130:B193" si="2">TEXT(A130,"MMM")</f>
        <v>Nov</v>
      </c>
      <c r="C130" t="s">
        <v>32</v>
      </c>
      <c r="D130" t="s">
        <v>33</v>
      </c>
      <c r="E130">
        <v>350811448217.46002</v>
      </c>
      <c r="F130">
        <v>68169.89</v>
      </c>
      <c r="G130">
        <v>26528955791.459999</v>
      </c>
      <c r="H130">
        <v>2443109</v>
      </c>
      <c r="I130">
        <v>5431667</v>
      </c>
      <c r="J130">
        <v>5815427</v>
      </c>
      <c r="K130">
        <v>52.44</v>
      </c>
      <c r="L130">
        <v>0.43</v>
      </c>
      <c r="M130">
        <v>9.2899999999999991</v>
      </c>
      <c r="N130">
        <v>11.36</v>
      </c>
      <c r="O130">
        <v>55</v>
      </c>
      <c r="P130" t="s">
        <v>27</v>
      </c>
      <c r="Q130" t="s">
        <v>41</v>
      </c>
      <c r="R130" t="s">
        <v>74</v>
      </c>
      <c r="S130">
        <v>2022</v>
      </c>
      <c r="T130" t="s">
        <v>36</v>
      </c>
      <c r="U130">
        <v>34885</v>
      </c>
      <c r="V130">
        <v>22.55</v>
      </c>
      <c r="W130">
        <v>27.11</v>
      </c>
      <c r="X130">
        <v>84.27</v>
      </c>
      <c r="Y130">
        <v>39.92</v>
      </c>
    </row>
    <row r="131" spans="1:25" x14ac:dyDescent="0.3">
      <c r="A131" t="s">
        <v>174</v>
      </c>
      <c r="B131" t="str">
        <f t="shared" si="2"/>
        <v>Jun</v>
      </c>
      <c r="C131" t="s">
        <v>49</v>
      </c>
      <c r="D131" t="s">
        <v>50</v>
      </c>
      <c r="E131">
        <v>55626382506.139999</v>
      </c>
      <c r="F131">
        <v>61968.24</v>
      </c>
      <c r="G131">
        <v>21661039200.540001</v>
      </c>
      <c r="H131">
        <v>3471140</v>
      </c>
      <c r="I131">
        <v>5211424</v>
      </c>
      <c r="J131">
        <v>6017353</v>
      </c>
      <c r="K131">
        <v>3.76</v>
      </c>
      <c r="L131">
        <v>-3.14</v>
      </c>
      <c r="M131">
        <v>-12.68</v>
      </c>
      <c r="N131">
        <v>-11.56</v>
      </c>
      <c r="O131">
        <v>53</v>
      </c>
      <c r="P131" t="s">
        <v>40</v>
      </c>
      <c r="Q131" t="s">
        <v>28</v>
      </c>
      <c r="R131" t="s">
        <v>42</v>
      </c>
      <c r="S131">
        <v>2018</v>
      </c>
      <c r="T131" t="s">
        <v>36</v>
      </c>
      <c r="U131">
        <v>51002</v>
      </c>
      <c r="V131">
        <v>66.13</v>
      </c>
      <c r="W131">
        <v>48.15</v>
      </c>
      <c r="X131">
        <v>86.75</v>
      </c>
      <c r="Y131">
        <v>95.63</v>
      </c>
    </row>
    <row r="132" spans="1:25" x14ac:dyDescent="0.3">
      <c r="A132" t="s">
        <v>175</v>
      </c>
      <c r="B132" t="str">
        <f t="shared" si="2"/>
        <v>Dec</v>
      </c>
      <c r="C132" t="s">
        <v>90</v>
      </c>
      <c r="D132" t="s">
        <v>91</v>
      </c>
      <c r="E132">
        <v>54848502704.120003</v>
      </c>
      <c r="F132">
        <v>63804.95</v>
      </c>
      <c r="G132">
        <v>41927981383.739998</v>
      </c>
      <c r="H132">
        <v>11644189</v>
      </c>
      <c r="I132">
        <v>13508811</v>
      </c>
      <c r="J132">
        <v>13856411</v>
      </c>
      <c r="K132">
        <v>14.76</v>
      </c>
      <c r="L132">
        <v>4.6900000000000004</v>
      </c>
      <c r="M132">
        <v>12.86</v>
      </c>
      <c r="N132">
        <v>0.75</v>
      </c>
      <c r="O132">
        <v>55</v>
      </c>
      <c r="P132" t="s">
        <v>46</v>
      </c>
      <c r="Q132" t="s">
        <v>57</v>
      </c>
      <c r="R132" t="s">
        <v>64</v>
      </c>
      <c r="S132">
        <v>2021</v>
      </c>
      <c r="T132" t="s">
        <v>30</v>
      </c>
      <c r="U132">
        <v>25215</v>
      </c>
      <c r="V132">
        <v>96.08</v>
      </c>
      <c r="W132">
        <v>83.34</v>
      </c>
      <c r="X132">
        <v>21.95</v>
      </c>
      <c r="Y132">
        <v>86.84</v>
      </c>
    </row>
    <row r="133" spans="1:25" x14ac:dyDescent="0.3">
      <c r="A133" t="s">
        <v>98</v>
      </c>
      <c r="B133" t="str">
        <f t="shared" si="2"/>
        <v>Aug</v>
      </c>
      <c r="C133" t="s">
        <v>68</v>
      </c>
      <c r="D133" t="s">
        <v>69</v>
      </c>
      <c r="E133">
        <v>170943757135.26999</v>
      </c>
      <c r="F133">
        <v>55099.05</v>
      </c>
      <c r="G133">
        <v>32273085925.82</v>
      </c>
      <c r="H133">
        <v>13401097</v>
      </c>
      <c r="I133">
        <v>14598301</v>
      </c>
      <c r="J133">
        <v>14989057</v>
      </c>
      <c r="K133">
        <v>24.63</v>
      </c>
      <c r="L133">
        <v>3.36</v>
      </c>
      <c r="M133">
        <v>9.42</v>
      </c>
      <c r="N133">
        <v>-6.7</v>
      </c>
      <c r="O133">
        <v>155</v>
      </c>
      <c r="P133" t="s">
        <v>53</v>
      </c>
      <c r="Q133" t="s">
        <v>47</v>
      </c>
      <c r="R133" t="s">
        <v>64</v>
      </c>
      <c r="S133">
        <v>2020</v>
      </c>
      <c r="T133" t="s">
        <v>36</v>
      </c>
      <c r="U133">
        <v>60795</v>
      </c>
      <c r="V133">
        <v>24.82</v>
      </c>
      <c r="W133">
        <v>81.06</v>
      </c>
      <c r="X133">
        <v>73.430000000000007</v>
      </c>
      <c r="Y133">
        <v>21.09</v>
      </c>
    </row>
    <row r="134" spans="1:25" x14ac:dyDescent="0.3">
      <c r="A134" t="s">
        <v>112</v>
      </c>
      <c r="B134" t="str">
        <f t="shared" si="2"/>
        <v>Feb</v>
      </c>
      <c r="C134" t="s">
        <v>78</v>
      </c>
      <c r="D134" t="s">
        <v>79</v>
      </c>
      <c r="E134">
        <v>326972646774.15997</v>
      </c>
      <c r="F134">
        <v>26306.29</v>
      </c>
      <c r="G134">
        <v>48514205711.190002</v>
      </c>
      <c r="H134">
        <v>17321099</v>
      </c>
      <c r="I134">
        <v>17692899</v>
      </c>
      <c r="J134">
        <v>18313953</v>
      </c>
      <c r="K134">
        <v>43.49</v>
      </c>
      <c r="L134">
        <v>2.54</v>
      </c>
      <c r="M134">
        <v>16.600000000000001</v>
      </c>
      <c r="N134">
        <v>18.89</v>
      </c>
      <c r="O134">
        <v>86</v>
      </c>
      <c r="P134" t="s">
        <v>51</v>
      </c>
      <c r="Q134" t="s">
        <v>57</v>
      </c>
      <c r="R134" t="s">
        <v>74</v>
      </c>
      <c r="S134">
        <v>2014</v>
      </c>
      <c r="T134" t="s">
        <v>36</v>
      </c>
      <c r="U134">
        <v>51959</v>
      </c>
      <c r="V134">
        <v>71.58</v>
      </c>
      <c r="W134">
        <v>90.07</v>
      </c>
      <c r="X134">
        <v>91.63</v>
      </c>
      <c r="Y134">
        <v>94.19</v>
      </c>
    </row>
    <row r="135" spans="1:25" x14ac:dyDescent="0.3">
      <c r="A135" t="s">
        <v>176</v>
      </c>
      <c r="B135" t="str">
        <f t="shared" si="2"/>
        <v>Apr</v>
      </c>
      <c r="C135" t="s">
        <v>90</v>
      </c>
      <c r="D135" t="s">
        <v>91</v>
      </c>
      <c r="E135">
        <v>582437346721.98999</v>
      </c>
      <c r="F135">
        <v>28135.57</v>
      </c>
      <c r="G135">
        <v>21999941035.759998</v>
      </c>
      <c r="H135">
        <v>11184552</v>
      </c>
      <c r="I135">
        <v>13801239</v>
      </c>
      <c r="J135">
        <v>14139779</v>
      </c>
      <c r="K135">
        <v>5.79</v>
      </c>
      <c r="L135">
        <v>-0.35</v>
      </c>
      <c r="M135">
        <v>-18.97</v>
      </c>
      <c r="N135">
        <v>36.979999999999997</v>
      </c>
      <c r="O135">
        <v>123</v>
      </c>
      <c r="P135" t="s">
        <v>46</v>
      </c>
      <c r="Q135" t="s">
        <v>57</v>
      </c>
      <c r="R135" t="s">
        <v>64</v>
      </c>
      <c r="S135">
        <v>2014</v>
      </c>
      <c r="T135" t="s">
        <v>30</v>
      </c>
      <c r="U135">
        <v>55299</v>
      </c>
      <c r="V135">
        <v>27.75</v>
      </c>
      <c r="W135">
        <v>54.77</v>
      </c>
      <c r="X135">
        <v>64.290000000000006</v>
      </c>
      <c r="Y135">
        <v>57.24</v>
      </c>
    </row>
    <row r="136" spans="1:25" x14ac:dyDescent="0.3">
      <c r="A136" t="s">
        <v>95</v>
      </c>
      <c r="B136" t="str">
        <f t="shared" si="2"/>
        <v>Mar</v>
      </c>
      <c r="C136" t="s">
        <v>25</v>
      </c>
      <c r="D136" t="s">
        <v>26</v>
      </c>
      <c r="E136">
        <v>29719742040.080002</v>
      </c>
      <c r="F136">
        <v>44771.76</v>
      </c>
      <c r="G136">
        <v>14604323596.52</v>
      </c>
      <c r="H136">
        <v>11072718</v>
      </c>
      <c r="I136">
        <v>15162369</v>
      </c>
      <c r="J136">
        <v>16043223</v>
      </c>
      <c r="K136">
        <v>58.55</v>
      </c>
      <c r="L136">
        <v>1.1200000000000001</v>
      </c>
      <c r="M136">
        <v>-4.25</v>
      </c>
      <c r="N136">
        <v>24.09</v>
      </c>
      <c r="O136">
        <v>200</v>
      </c>
      <c r="P136" t="s">
        <v>46</v>
      </c>
      <c r="Q136" t="s">
        <v>41</v>
      </c>
      <c r="R136" t="s">
        <v>35</v>
      </c>
      <c r="S136">
        <v>2020</v>
      </c>
      <c r="T136" t="s">
        <v>30</v>
      </c>
      <c r="U136">
        <v>43850</v>
      </c>
      <c r="V136">
        <v>92.07</v>
      </c>
      <c r="W136">
        <v>48.27</v>
      </c>
      <c r="X136">
        <v>21.35</v>
      </c>
      <c r="Y136">
        <v>83.24</v>
      </c>
    </row>
    <row r="137" spans="1:25" x14ac:dyDescent="0.3">
      <c r="A137" t="s">
        <v>141</v>
      </c>
      <c r="B137" t="str">
        <f t="shared" si="2"/>
        <v>Aug</v>
      </c>
      <c r="C137" t="s">
        <v>60</v>
      </c>
      <c r="D137" t="s">
        <v>61</v>
      </c>
      <c r="E137">
        <v>52554575955.339996</v>
      </c>
      <c r="F137">
        <v>33156.28</v>
      </c>
      <c r="G137">
        <v>3095688413.8600001</v>
      </c>
      <c r="H137">
        <v>14943127</v>
      </c>
      <c r="I137">
        <v>15183242</v>
      </c>
      <c r="J137">
        <v>15361652</v>
      </c>
      <c r="K137">
        <v>22.09</v>
      </c>
      <c r="L137">
        <v>2.33</v>
      </c>
      <c r="M137">
        <v>-17.38</v>
      </c>
      <c r="N137">
        <v>-21.99</v>
      </c>
      <c r="O137">
        <v>193</v>
      </c>
      <c r="P137" t="s">
        <v>40</v>
      </c>
      <c r="Q137" t="s">
        <v>28</v>
      </c>
      <c r="R137" t="s">
        <v>29</v>
      </c>
      <c r="S137">
        <v>2021</v>
      </c>
      <c r="T137" t="s">
        <v>30</v>
      </c>
      <c r="U137">
        <v>1865</v>
      </c>
      <c r="V137">
        <v>57.91</v>
      </c>
      <c r="W137">
        <v>64.53</v>
      </c>
      <c r="X137">
        <v>74.52</v>
      </c>
      <c r="Y137">
        <v>90.7</v>
      </c>
    </row>
    <row r="138" spans="1:25" x14ac:dyDescent="0.3">
      <c r="A138" t="s">
        <v>177</v>
      </c>
      <c r="B138" t="str">
        <f t="shared" si="2"/>
        <v>Jan</v>
      </c>
      <c r="C138" t="s">
        <v>68</v>
      </c>
      <c r="D138" t="s">
        <v>69</v>
      </c>
      <c r="E138">
        <v>62293824252.849998</v>
      </c>
      <c r="F138">
        <v>68957.17</v>
      </c>
      <c r="G138">
        <v>2329961330.0100002</v>
      </c>
      <c r="H138">
        <v>2907729</v>
      </c>
      <c r="I138">
        <v>4172853</v>
      </c>
      <c r="J138">
        <v>5041801</v>
      </c>
      <c r="K138">
        <v>54.37</v>
      </c>
      <c r="L138">
        <v>-0.56999999999999995</v>
      </c>
      <c r="M138">
        <v>11.34</v>
      </c>
      <c r="N138">
        <v>30.62</v>
      </c>
      <c r="O138">
        <v>77</v>
      </c>
      <c r="P138" t="s">
        <v>40</v>
      </c>
      <c r="Q138" t="s">
        <v>34</v>
      </c>
      <c r="R138" t="s">
        <v>29</v>
      </c>
      <c r="S138">
        <v>2020</v>
      </c>
      <c r="T138" t="s">
        <v>36</v>
      </c>
      <c r="U138">
        <v>60513</v>
      </c>
      <c r="V138">
        <v>57.51</v>
      </c>
      <c r="W138">
        <v>41.29</v>
      </c>
      <c r="X138">
        <v>67.23</v>
      </c>
      <c r="Y138">
        <v>56.21</v>
      </c>
    </row>
    <row r="139" spans="1:25" x14ac:dyDescent="0.3">
      <c r="A139" t="s">
        <v>178</v>
      </c>
      <c r="B139" t="str">
        <f t="shared" si="2"/>
        <v>Sep</v>
      </c>
      <c r="C139" t="s">
        <v>44</v>
      </c>
      <c r="D139" t="s">
        <v>45</v>
      </c>
      <c r="E139">
        <v>159539156151.70001</v>
      </c>
      <c r="F139">
        <v>21752.71</v>
      </c>
      <c r="G139">
        <v>35130837157.139999</v>
      </c>
      <c r="H139">
        <v>18929071</v>
      </c>
      <c r="I139">
        <v>20181820</v>
      </c>
      <c r="J139">
        <v>21023653</v>
      </c>
      <c r="K139">
        <v>57.77</v>
      </c>
      <c r="L139">
        <v>-3.7</v>
      </c>
      <c r="M139">
        <v>11.16</v>
      </c>
      <c r="N139">
        <v>-15.82</v>
      </c>
      <c r="O139">
        <v>78</v>
      </c>
      <c r="P139" t="s">
        <v>40</v>
      </c>
      <c r="Q139" t="s">
        <v>57</v>
      </c>
      <c r="R139" t="s">
        <v>74</v>
      </c>
      <c r="S139">
        <v>2014</v>
      </c>
      <c r="T139" t="s">
        <v>36</v>
      </c>
      <c r="U139">
        <v>63147</v>
      </c>
      <c r="V139">
        <v>56</v>
      </c>
      <c r="W139">
        <v>28.24</v>
      </c>
      <c r="X139">
        <v>77.12</v>
      </c>
      <c r="Y139">
        <v>44.97</v>
      </c>
    </row>
    <row r="140" spans="1:25" x14ac:dyDescent="0.3">
      <c r="A140" t="s">
        <v>179</v>
      </c>
      <c r="B140" t="str">
        <f t="shared" si="2"/>
        <v>Jul</v>
      </c>
      <c r="C140" t="s">
        <v>25</v>
      </c>
      <c r="D140" t="s">
        <v>26</v>
      </c>
      <c r="E140">
        <v>510009878371.64001</v>
      </c>
      <c r="F140">
        <v>6570.61</v>
      </c>
      <c r="G140">
        <v>11691081101.27</v>
      </c>
      <c r="H140">
        <v>16138983</v>
      </c>
      <c r="I140">
        <v>18594622</v>
      </c>
      <c r="J140">
        <v>19437996</v>
      </c>
      <c r="K140">
        <v>48.31</v>
      </c>
      <c r="L140">
        <v>-3.27</v>
      </c>
      <c r="M140">
        <v>5.43</v>
      </c>
      <c r="N140">
        <v>-12.76</v>
      </c>
      <c r="O140">
        <v>140</v>
      </c>
      <c r="P140" t="s">
        <v>27</v>
      </c>
      <c r="Q140" t="s">
        <v>57</v>
      </c>
      <c r="R140" t="s">
        <v>35</v>
      </c>
      <c r="S140">
        <v>2017</v>
      </c>
      <c r="T140" t="s">
        <v>30</v>
      </c>
      <c r="U140">
        <v>8995</v>
      </c>
      <c r="V140">
        <v>92.6</v>
      </c>
      <c r="W140">
        <v>96.19</v>
      </c>
      <c r="X140">
        <v>68.42</v>
      </c>
      <c r="Y140">
        <v>88.62</v>
      </c>
    </row>
    <row r="141" spans="1:25" x14ac:dyDescent="0.3">
      <c r="A141" t="s">
        <v>162</v>
      </c>
      <c r="B141" t="str">
        <f t="shared" si="2"/>
        <v>Oct</v>
      </c>
      <c r="C141" t="s">
        <v>49</v>
      </c>
      <c r="D141" t="s">
        <v>50</v>
      </c>
      <c r="E141">
        <v>473333629637.67999</v>
      </c>
      <c r="F141">
        <v>8393.92</v>
      </c>
      <c r="G141">
        <v>4332279025.9499998</v>
      </c>
      <c r="H141">
        <v>5705754</v>
      </c>
      <c r="I141">
        <v>10194880</v>
      </c>
      <c r="J141">
        <v>10438605</v>
      </c>
      <c r="K141">
        <v>28.66</v>
      </c>
      <c r="L141">
        <v>-4.8499999999999996</v>
      </c>
      <c r="M141">
        <v>8.7799999999999994</v>
      </c>
      <c r="N141">
        <v>6.59</v>
      </c>
      <c r="O141">
        <v>142</v>
      </c>
      <c r="P141" t="s">
        <v>46</v>
      </c>
      <c r="Q141" t="s">
        <v>57</v>
      </c>
      <c r="R141" t="s">
        <v>74</v>
      </c>
      <c r="S141">
        <v>2012</v>
      </c>
      <c r="T141" t="s">
        <v>36</v>
      </c>
      <c r="U141">
        <v>18320</v>
      </c>
      <c r="V141">
        <v>38.61</v>
      </c>
      <c r="W141">
        <v>62.48</v>
      </c>
      <c r="X141">
        <v>34.6</v>
      </c>
      <c r="Y141">
        <v>32.380000000000003</v>
      </c>
    </row>
    <row r="142" spans="1:25" x14ac:dyDescent="0.3">
      <c r="A142" t="s">
        <v>127</v>
      </c>
      <c r="B142" t="str">
        <f t="shared" si="2"/>
        <v>Sep</v>
      </c>
      <c r="C142" t="s">
        <v>78</v>
      </c>
      <c r="D142" t="s">
        <v>79</v>
      </c>
      <c r="E142">
        <v>640049003797.30005</v>
      </c>
      <c r="F142">
        <v>66507.58</v>
      </c>
      <c r="G142">
        <v>49179909895.639999</v>
      </c>
      <c r="H142">
        <v>8188420</v>
      </c>
      <c r="I142">
        <v>12727657</v>
      </c>
      <c r="J142">
        <v>12959200</v>
      </c>
      <c r="K142">
        <v>42.58</v>
      </c>
      <c r="L142">
        <v>4.5599999999999996</v>
      </c>
      <c r="M142">
        <v>11.5</v>
      </c>
      <c r="N142">
        <v>18.22</v>
      </c>
      <c r="O142">
        <v>69</v>
      </c>
      <c r="P142" t="s">
        <v>40</v>
      </c>
      <c r="Q142" t="s">
        <v>34</v>
      </c>
      <c r="R142" t="s">
        <v>64</v>
      </c>
      <c r="S142">
        <v>2010</v>
      </c>
      <c r="T142" t="s">
        <v>36</v>
      </c>
      <c r="U142">
        <v>19992</v>
      </c>
      <c r="V142">
        <v>67.540000000000006</v>
      </c>
      <c r="W142">
        <v>71.19</v>
      </c>
      <c r="X142">
        <v>65.489999999999995</v>
      </c>
      <c r="Y142">
        <v>53.38</v>
      </c>
    </row>
    <row r="143" spans="1:25" x14ac:dyDescent="0.3">
      <c r="A143" t="s">
        <v>180</v>
      </c>
      <c r="B143" t="str">
        <f t="shared" si="2"/>
        <v>Apr</v>
      </c>
      <c r="C143" t="s">
        <v>68</v>
      </c>
      <c r="D143" t="s">
        <v>69</v>
      </c>
      <c r="E143">
        <v>269928559392.57999</v>
      </c>
      <c r="F143">
        <v>59347.29</v>
      </c>
      <c r="G143">
        <v>21037418756.259998</v>
      </c>
      <c r="H143">
        <v>7143241</v>
      </c>
      <c r="I143">
        <v>8666569</v>
      </c>
      <c r="J143">
        <v>9155618</v>
      </c>
      <c r="K143">
        <v>42.57</v>
      </c>
      <c r="L143">
        <v>-1.88</v>
      </c>
      <c r="M143">
        <v>13.89</v>
      </c>
      <c r="N143">
        <v>-0.46</v>
      </c>
      <c r="O143">
        <v>21</v>
      </c>
      <c r="P143" t="s">
        <v>51</v>
      </c>
      <c r="Q143" t="s">
        <v>47</v>
      </c>
      <c r="R143" t="s">
        <v>42</v>
      </c>
      <c r="S143">
        <v>2011</v>
      </c>
      <c r="T143" t="s">
        <v>36</v>
      </c>
      <c r="U143">
        <v>63091</v>
      </c>
      <c r="V143">
        <v>94.95</v>
      </c>
      <c r="W143">
        <v>67.55</v>
      </c>
      <c r="X143">
        <v>70.790000000000006</v>
      </c>
      <c r="Y143">
        <v>10.43</v>
      </c>
    </row>
    <row r="144" spans="1:25" x14ac:dyDescent="0.3">
      <c r="A144" t="s">
        <v>181</v>
      </c>
      <c r="B144" t="str">
        <f t="shared" si="2"/>
        <v>Dec</v>
      </c>
      <c r="C144" t="s">
        <v>32</v>
      </c>
      <c r="D144" t="s">
        <v>33</v>
      </c>
      <c r="E144">
        <v>632777075223.38</v>
      </c>
      <c r="F144">
        <v>41835.050000000003</v>
      </c>
      <c r="G144">
        <v>48054503827.160004</v>
      </c>
      <c r="H144">
        <v>17701539</v>
      </c>
      <c r="I144">
        <v>18898608</v>
      </c>
      <c r="J144">
        <v>19197276</v>
      </c>
      <c r="K144">
        <v>41.06</v>
      </c>
      <c r="L144">
        <v>-0.19</v>
      </c>
      <c r="M144">
        <v>3.6</v>
      </c>
      <c r="N144">
        <v>10.130000000000001</v>
      </c>
      <c r="O144">
        <v>31</v>
      </c>
      <c r="P144" t="s">
        <v>46</v>
      </c>
      <c r="Q144" t="s">
        <v>41</v>
      </c>
      <c r="R144" t="s">
        <v>35</v>
      </c>
      <c r="S144">
        <v>2021</v>
      </c>
      <c r="T144" t="s">
        <v>36</v>
      </c>
      <c r="U144">
        <v>61487</v>
      </c>
      <c r="V144">
        <v>70.55</v>
      </c>
      <c r="W144">
        <v>60.36</v>
      </c>
      <c r="X144">
        <v>11.93</v>
      </c>
      <c r="Y144">
        <v>11.81</v>
      </c>
    </row>
    <row r="145" spans="1:25" x14ac:dyDescent="0.3">
      <c r="A145" t="s">
        <v>182</v>
      </c>
      <c r="B145" t="str">
        <f t="shared" si="2"/>
        <v>Jun</v>
      </c>
      <c r="C145" t="s">
        <v>90</v>
      </c>
      <c r="D145" t="s">
        <v>91</v>
      </c>
      <c r="E145">
        <v>704098351083.82996</v>
      </c>
      <c r="F145">
        <v>47851.48</v>
      </c>
      <c r="G145">
        <v>29977283814.419998</v>
      </c>
      <c r="H145">
        <v>7609435</v>
      </c>
      <c r="I145">
        <v>7725828</v>
      </c>
      <c r="J145">
        <v>8432578</v>
      </c>
      <c r="K145">
        <v>12.48</v>
      </c>
      <c r="L145">
        <v>4.96</v>
      </c>
      <c r="M145">
        <v>10.11</v>
      </c>
      <c r="N145">
        <v>16.510000000000002</v>
      </c>
      <c r="O145">
        <v>183</v>
      </c>
      <c r="P145" t="s">
        <v>46</v>
      </c>
      <c r="Q145" t="s">
        <v>34</v>
      </c>
      <c r="R145" t="s">
        <v>35</v>
      </c>
      <c r="S145">
        <v>2010</v>
      </c>
      <c r="T145" t="s">
        <v>30</v>
      </c>
      <c r="U145">
        <v>16034</v>
      </c>
      <c r="V145">
        <v>16.36</v>
      </c>
      <c r="W145">
        <v>55.55</v>
      </c>
      <c r="X145">
        <v>44.68</v>
      </c>
      <c r="Y145">
        <v>87.76</v>
      </c>
    </row>
    <row r="146" spans="1:25" x14ac:dyDescent="0.3">
      <c r="A146" t="s">
        <v>183</v>
      </c>
      <c r="B146" t="str">
        <f t="shared" si="2"/>
        <v>Oct</v>
      </c>
      <c r="C146" t="s">
        <v>78</v>
      </c>
      <c r="D146" t="s">
        <v>79</v>
      </c>
      <c r="E146">
        <v>406380309409.04999</v>
      </c>
      <c r="F146">
        <v>51310.99</v>
      </c>
      <c r="G146">
        <v>42939261223.550003</v>
      </c>
      <c r="H146">
        <v>12768038</v>
      </c>
      <c r="I146">
        <v>13726886</v>
      </c>
      <c r="J146">
        <v>14363128</v>
      </c>
      <c r="K146">
        <v>36.729999999999997</v>
      </c>
      <c r="L146">
        <v>0.78</v>
      </c>
      <c r="M146">
        <v>-8.8000000000000007</v>
      </c>
      <c r="N146">
        <v>-33.119999999999997</v>
      </c>
      <c r="O146">
        <v>100</v>
      </c>
      <c r="P146" t="s">
        <v>40</v>
      </c>
      <c r="Q146" t="s">
        <v>47</v>
      </c>
      <c r="R146" t="s">
        <v>64</v>
      </c>
      <c r="S146">
        <v>2016</v>
      </c>
      <c r="T146" t="s">
        <v>36</v>
      </c>
      <c r="U146">
        <v>11932</v>
      </c>
      <c r="V146">
        <v>72.709999999999994</v>
      </c>
      <c r="W146">
        <v>57.47</v>
      </c>
      <c r="X146">
        <v>27.05</v>
      </c>
      <c r="Y146">
        <v>69.599999999999994</v>
      </c>
    </row>
    <row r="147" spans="1:25" x14ac:dyDescent="0.3">
      <c r="A147" t="s">
        <v>184</v>
      </c>
      <c r="B147" t="str">
        <f t="shared" si="2"/>
        <v>May</v>
      </c>
      <c r="C147" t="s">
        <v>60</v>
      </c>
      <c r="D147" t="s">
        <v>61</v>
      </c>
      <c r="E147">
        <v>724927197141.77002</v>
      </c>
      <c r="F147">
        <v>15632.31</v>
      </c>
      <c r="G147">
        <v>23016683618.07</v>
      </c>
      <c r="H147">
        <v>13165149</v>
      </c>
      <c r="I147">
        <v>16483919</v>
      </c>
      <c r="J147">
        <v>16543743</v>
      </c>
      <c r="K147">
        <v>45.2</v>
      </c>
      <c r="L147">
        <v>3.22</v>
      </c>
      <c r="M147">
        <v>-11.02</v>
      </c>
      <c r="N147">
        <v>-27.72</v>
      </c>
      <c r="O147">
        <v>127</v>
      </c>
      <c r="P147" t="s">
        <v>51</v>
      </c>
      <c r="Q147" t="s">
        <v>34</v>
      </c>
      <c r="R147" t="s">
        <v>64</v>
      </c>
      <c r="S147">
        <v>2020</v>
      </c>
      <c r="T147" t="s">
        <v>30</v>
      </c>
      <c r="U147">
        <v>33232</v>
      </c>
      <c r="V147">
        <v>10.41</v>
      </c>
      <c r="W147">
        <v>57.61</v>
      </c>
      <c r="X147">
        <v>78.77</v>
      </c>
      <c r="Y147">
        <v>24.68</v>
      </c>
    </row>
    <row r="148" spans="1:25" x14ac:dyDescent="0.3">
      <c r="A148" t="s">
        <v>185</v>
      </c>
      <c r="B148" t="str">
        <f t="shared" si="2"/>
        <v>Feb</v>
      </c>
      <c r="C148" t="s">
        <v>78</v>
      </c>
      <c r="D148" t="s">
        <v>79</v>
      </c>
      <c r="E148">
        <v>676248232933.38</v>
      </c>
      <c r="F148">
        <v>28160.69</v>
      </c>
      <c r="G148">
        <v>47188390191.5</v>
      </c>
      <c r="H148">
        <v>5961704</v>
      </c>
      <c r="I148">
        <v>10856707</v>
      </c>
      <c r="J148">
        <v>11632195</v>
      </c>
      <c r="K148">
        <v>8.2100000000000009</v>
      </c>
      <c r="L148">
        <v>1.48</v>
      </c>
      <c r="M148">
        <v>6.95</v>
      </c>
      <c r="N148">
        <v>30.19</v>
      </c>
      <c r="O148">
        <v>54</v>
      </c>
      <c r="P148" t="s">
        <v>40</v>
      </c>
      <c r="Q148" t="s">
        <v>47</v>
      </c>
      <c r="R148" t="s">
        <v>64</v>
      </c>
      <c r="S148">
        <v>2011</v>
      </c>
      <c r="T148" t="s">
        <v>36</v>
      </c>
      <c r="U148">
        <v>47081</v>
      </c>
      <c r="V148">
        <v>30.18</v>
      </c>
      <c r="W148">
        <v>97.23</v>
      </c>
      <c r="X148">
        <v>74.489999999999995</v>
      </c>
      <c r="Y148">
        <v>19.53</v>
      </c>
    </row>
    <row r="149" spans="1:25" x14ac:dyDescent="0.3">
      <c r="A149" t="s">
        <v>160</v>
      </c>
      <c r="B149" t="str">
        <f t="shared" si="2"/>
        <v>Aug</v>
      </c>
      <c r="C149" t="s">
        <v>55</v>
      </c>
      <c r="D149" t="s">
        <v>56</v>
      </c>
      <c r="E149">
        <v>52414157551.129997</v>
      </c>
      <c r="F149">
        <v>2528.1</v>
      </c>
      <c r="G149">
        <v>47995393926.690002</v>
      </c>
      <c r="H149">
        <v>10220087</v>
      </c>
      <c r="I149">
        <v>12906932</v>
      </c>
      <c r="J149">
        <v>13323302</v>
      </c>
      <c r="K149">
        <v>13.45</v>
      </c>
      <c r="L149">
        <v>3.57</v>
      </c>
      <c r="M149">
        <v>-1.26</v>
      </c>
      <c r="N149">
        <v>19.489999999999998</v>
      </c>
      <c r="O149">
        <v>41</v>
      </c>
      <c r="P149" t="s">
        <v>53</v>
      </c>
      <c r="Q149" t="s">
        <v>57</v>
      </c>
      <c r="R149" t="s">
        <v>64</v>
      </c>
      <c r="S149">
        <v>2016</v>
      </c>
      <c r="T149" t="s">
        <v>58</v>
      </c>
      <c r="U149">
        <v>49001</v>
      </c>
      <c r="V149">
        <v>68.31</v>
      </c>
      <c r="W149">
        <v>30.7</v>
      </c>
      <c r="X149">
        <v>46.56</v>
      </c>
      <c r="Y149">
        <v>86.38</v>
      </c>
    </row>
    <row r="150" spans="1:25" x14ac:dyDescent="0.3">
      <c r="A150" t="s">
        <v>62</v>
      </c>
      <c r="B150" t="str">
        <f t="shared" si="2"/>
        <v>May</v>
      </c>
      <c r="C150" t="s">
        <v>32</v>
      </c>
      <c r="D150" t="s">
        <v>33</v>
      </c>
      <c r="E150">
        <v>209489443341.85001</v>
      </c>
      <c r="F150">
        <v>49258.1</v>
      </c>
      <c r="G150">
        <v>21596917760.580002</v>
      </c>
      <c r="H150">
        <v>2383873</v>
      </c>
      <c r="I150">
        <v>5740401</v>
      </c>
      <c r="J150">
        <v>6396047</v>
      </c>
      <c r="K150">
        <v>16.829999999999998</v>
      </c>
      <c r="L150">
        <v>1.39</v>
      </c>
      <c r="M150">
        <v>-8.5500000000000007</v>
      </c>
      <c r="N150">
        <v>17.170000000000002</v>
      </c>
      <c r="O150">
        <v>13</v>
      </c>
      <c r="P150" t="s">
        <v>46</v>
      </c>
      <c r="Q150" t="s">
        <v>41</v>
      </c>
      <c r="R150" t="s">
        <v>64</v>
      </c>
      <c r="S150">
        <v>2016</v>
      </c>
      <c r="T150" t="s">
        <v>36</v>
      </c>
      <c r="U150">
        <v>57523</v>
      </c>
      <c r="V150">
        <v>60.36</v>
      </c>
      <c r="W150">
        <v>82.33</v>
      </c>
      <c r="X150">
        <v>89.74</v>
      </c>
      <c r="Y150">
        <v>46.66</v>
      </c>
    </row>
    <row r="151" spans="1:25" x14ac:dyDescent="0.3">
      <c r="A151" t="s">
        <v>186</v>
      </c>
      <c r="B151" t="str">
        <f t="shared" si="2"/>
        <v>Sep</v>
      </c>
      <c r="C151" t="s">
        <v>68</v>
      </c>
      <c r="D151" t="s">
        <v>69</v>
      </c>
      <c r="E151">
        <v>787648209905.60999</v>
      </c>
      <c r="F151">
        <v>36514.959999999999</v>
      </c>
      <c r="G151">
        <v>28979770966.040001</v>
      </c>
      <c r="H151">
        <v>3374490</v>
      </c>
      <c r="I151">
        <v>5349632</v>
      </c>
      <c r="J151">
        <v>5543972</v>
      </c>
      <c r="K151">
        <v>44.17</v>
      </c>
      <c r="L151">
        <v>-4.53</v>
      </c>
      <c r="M151">
        <v>12.05</v>
      </c>
      <c r="N151">
        <v>-37.19</v>
      </c>
      <c r="O151">
        <v>172</v>
      </c>
      <c r="P151" t="s">
        <v>40</v>
      </c>
      <c r="Q151" t="s">
        <v>41</v>
      </c>
      <c r="R151" t="s">
        <v>74</v>
      </c>
      <c r="S151">
        <v>2018</v>
      </c>
      <c r="T151" t="s">
        <v>36</v>
      </c>
      <c r="U151">
        <v>14851</v>
      </c>
      <c r="V151">
        <v>14.34</v>
      </c>
      <c r="W151">
        <v>27.47</v>
      </c>
      <c r="X151">
        <v>58.99</v>
      </c>
      <c r="Y151">
        <v>52.19</v>
      </c>
    </row>
    <row r="152" spans="1:25" x14ac:dyDescent="0.3">
      <c r="A152" t="s">
        <v>187</v>
      </c>
      <c r="B152" t="str">
        <f t="shared" si="2"/>
        <v>Jun</v>
      </c>
      <c r="C152" t="s">
        <v>90</v>
      </c>
      <c r="D152" t="s">
        <v>91</v>
      </c>
      <c r="E152">
        <v>849548765244.46997</v>
      </c>
      <c r="F152">
        <v>7959.59</v>
      </c>
      <c r="G152">
        <v>28930605382.759998</v>
      </c>
      <c r="H152">
        <v>13925379</v>
      </c>
      <c r="I152">
        <v>17449793</v>
      </c>
      <c r="J152">
        <v>18019909</v>
      </c>
      <c r="K152">
        <v>10.32</v>
      </c>
      <c r="L152">
        <v>-4.74</v>
      </c>
      <c r="M152">
        <v>-7.89</v>
      </c>
      <c r="N152">
        <v>-34.61</v>
      </c>
      <c r="O152">
        <v>43</v>
      </c>
      <c r="P152" t="s">
        <v>27</v>
      </c>
      <c r="Q152" t="s">
        <v>57</v>
      </c>
      <c r="R152" t="s">
        <v>35</v>
      </c>
      <c r="S152">
        <v>2020</v>
      </c>
      <c r="T152" t="s">
        <v>30</v>
      </c>
      <c r="U152">
        <v>48771</v>
      </c>
      <c r="V152">
        <v>66.3</v>
      </c>
      <c r="W152">
        <v>20.149999999999999</v>
      </c>
      <c r="X152">
        <v>43.38</v>
      </c>
      <c r="Y152">
        <v>83.33</v>
      </c>
    </row>
    <row r="153" spans="1:25" x14ac:dyDescent="0.3">
      <c r="A153" t="s">
        <v>188</v>
      </c>
      <c r="B153" t="str">
        <f t="shared" si="2"/>
        <v>Dec</v>
      </c>
      <c r="C153" t="s">
        <v>90</v>
      </c>
      <c r="D153" t="s">
        <v>91</v>
      </c>
      <c r="E153">
        <v>669018999946.62</v>
      </c>
      <c r="F153">
        <v>36334.080000000002</v>
      </c>
      <c r="G153">
        <v>44514725931.080002</v>
      </c>
      <c r="H153">
        <v>3271437</v>
      </c>
      <c r="I153">
        <v>5190029</v>
      </c>
      <c r="J153">
        <v>5951461</v>
      </c>
      <c r="K153">
        <v>21.83</v>
      </c>
      <c r="L153">
        <v>1.23</v>
      </c>
      <c r="M153">
        <v>-11.22</v>
      </c>
      <c r="N153">
        <v>13.21</v>
      </c>
      <c r="O153">
        <v>175</v>
      </c>
      <c r="P153" t="s">
        <v>27</v>
      </c>
      <c r="Q153" t="s">
        <v>41</v>
      </c>
      <c r="R153" t="s">
        <v>29</v>
      </c>
      <c r="S153">
        <v>2022</v>
      </c>
      <c r="T153" t="s">
        <v>30</v>
      </c>
      <c r="U153">
        <v>30682</v>
      </c>
      <c r="V153">
        <v>37.35</v>
      </c>
      <c r="W153">
        <v>83.54</v>
      </c>
      <c r="X153">
        <v>64.55</v>
      </c>
      <c r="Y153">
        <v>64.14</v>
      </c>
    </row>
    <row r="154" spans="1:25" x14ac:dyDescent="0.3">
      <c r="A154" t="s">
        <v>189</v>
      </c>
      <c r="B154" t="str">
        <f t="shared" si="2"/>
        <v>Sep</v>
      </c>
      <c r="C154" t="s">
        <v>32</v>
      </c>
      <c r="D154" t="s">
        <v>33</v>
      </c>
      <c r="E154">
        <v>621697703261.21997</v>
      </c>
      <c r="F154">
        <v>35383.83</v>
      </c>
      <c r="G154">
        <v>8346069559.7200003</v>
      </c>
      <c r="H154">
        <v>17152655</v>
      </c>
      <c r="I154">
        <v>20903708</v>
      </c>
      <c r="J154">
        <v>21876709</v>
      </c>
      <c r="K154">
        <v>8.1999999999999993</v>
      </c>
      <c r="L154">
        <v>1.64</v>
      </c>
      <c r="M154">
        <v>17.18</v>
      </c>
      <c r="N154">
        <v>16.77</v>
      </c>
      <c r="O154">
        <v>83</v>
      </c>
      <c r="P154" t="s">
        <v>53</v>
      </c>
      <c r="Q154" t="s">
        <v>28</v>
      </c>
      <c r="R154" t="s">
        <v>74</v>
      </c>
      <c r="S154">
        <v>2017</v>
      </c>
      <c r="T154" t="s">
        <v>36</v>
      </c>
      <c r="U154">
        <v>18621</v>
      </c>
      <c r="V154">
        <v>28.83</v>
      </c>
      <c r="W154">
        <v>86</v>
      </c>
      <c r="X154">
        <v>17.510000000000002</v>
      </c>
      <c r="Y154">
        <v>48.63</v>
      </c>
    </row>
    <row r="155" spans="1:25" x14ac:dyDescent="0.3">
      <c r="A155" t="s">
        <v>190</v>
      </c>
      <c r="B155" t="str">
        <f t="shared" si="2"/>
        <v>Aug</v>
      </c>
      <c r="C155" t="s">
        <v>25</v>
      </c>
      <c r="D155" t="s">
        <v>26</v>
      </c>
      <c r="E155">
        <v>236479247049.57001</v>
      </c>
      <c r="F155">
        <v>61795.76</v>
      </c>
      <c r="G155">
        <v>41196385179.220001</v>
      </c>
      <c r="H155">
        <v>7258089</v>
      </c>
      <c r="I155">
        <v>12121252</v>
      </c>
      <c r="J155">
        <v>13025564</v>
      </c>
      <c r="K155">
        <v>32.520000000000003</v>
      </c>
      <c r="L155">
        <v>-1.23</v>
      </c>
      <c r="M155">
        <v>3.35</v>
      </c>
      <c r="N155">
        <v>0.06</v>
      </c>
      <c r="O155">
        <v>51</v>
      </c>
      <c r="P155" t="s">
        <v>51</v>
      </c>
      <c r="Q155" t="s">
        <v>28</v>
      </c>
      <c r="R155" t="s">
        <v>64</v>
      </c>
      <c r="S155">
        <v>2012</v>
      </c>
      <c r="T155" t="s">
        <v>30</v>
      </c>
      <c r="U155">
        <v>62065</v>
      </c>
      <c r="V155">
        <v>17.57</v>
      </c>
      <c r="W155">
        <v>67.489999999999995</v>
      </c>
      <c r="X155">
        <v>87.53</v>
      </c>
      <c r="Y155">
        <v>76.44</v>
      </c>
    </row>
    <row r="156" spans="1:25" x14ac:dyDescent="0.3">
      <c r="A156" t="s">
        <v>97</v>
      </c>
      <c r="B156" t="str">
        <f t="shared" si="2"/>
        <v>May</v>
      </c>
      <c r="C156" t="s">
        <v>49</v>
      </c>
      <c r="D156" t="s">
        <v>50</v>
      </c>
      <c r="E156">
        <v>809788384469.12</v>
      </c>
      <c r="F156">
        <v>35173.94</v>
      </c>
      <c r="G156">
        <v>37028006784.300003</v>
      </c>
      <c r="H156">
        <v>7491025</v>
      </c>
      <c r="I156">
        <v>9472351</v>
      </c>
      <c r="J156">
        <v>9995339</v>
      </c>
      <c r="K156">
        <v>58.18</v>
      </c>
      <c r="L156">
        <v>-1.84</v>
      </c>
      <c r="M156">
        <v>10.56</v>
      </c>
      <c r="N156">
        <v>-27.21</v>
      </c>
      <c r="O156">
        <v>152</v>
      </c>
      <c r="P156" t="s">
        <v>53</v>
      </c>
      <c r="Q156" t="s">
        <v>47</v>
      </c>
      <c r="R156" t="s">
        <v>29</v>
      </c>
      <c r="S156">
        <v>2017</v>
      </c>
      <c r="T156" t="s">
        <v>36</v>
      </c>
      <c r="U156">
        <v>1052</v>
      </c>
      <c r="V156">
        <v>44.8</v>
      </c>
      <c r="W156">
        <v>72.52</v>
      </c>
      <c r="X156">
        <v>74.41</v>
      </c>
      <c r="Y156">
        <v>22.64</v>
      </c>
    </row>
    <row r="157" spans="1:25" x14ac:dyDescent="0.3">
      <c r="A157" t="s">
        <v>191</v>
      </c>
      <c r="B157" t="str">
        <f t="shared" si="2"/>
        <v>Jul</v>
      </c>
      <c r="C157" t="s">
        <v>44</v>
      </c>
      <c r="D157" t="s">
        <v>45</v>
      </c>
      <c r="E157">
        <v>216105704299.59</v>
      </c>
      <c r="F157">
        <v>54929.120000000003</v>
      </c>
      <c r="G157">
        <v>41139069877.389999</v>
      </c>
      <c r="H157">
        <v>11432948</v>
      </c>
      <c r="I157">
        <v>11982533</v>
      </c>
      <c r="J157">
        <v>12218354</v>
      </c>
      <c r="K157">
        <v>1.74</v>
      </c>
      <c r="L157">
        <v>4.5999999999999996</v>
      </c>
      <c r="M157">
        <v>12.02</v>
      </c>
      <c r="N157">
        <v>9.0500000000000007</v>
      </c>
      <c r="O157">
        <v>104</v>
      </c>
      <c r="P157" t="s">
        <v>51</v>
      </c>
      <c r="Q157" t="s">
        <v>28</v>
      </c>
      <c r="R157" t="s">
        <v>42</v>
      </c>
      <c r="S157">
        <v>2014</v>
      </c>
      <c r="T157" t="s">
        <v>36</v>
      </c>
      <c r="U157">
        <v>63026</v>
      </c>
      <c r="V157">
        <v>84.93</v>
      </c>
      <c r="W157">
        <v>85.93</v>
      </c>
      <c r="X157">
        <v>37.909999999999997</v>
      </c>
      <c r="Y157">
        <v>76.739999999999995</v>
      </c>
    </row>
    <row r="158" spans="1:25" x14ac:dyDescent="0.3">
      <c r="A158" t="s">
        <v>128</v>
      </c>
      <c r="B158" t="str">
        <f t="shared" si="2"/>
        <v>Nov</v>
      </c>
      <c r="C158" t="s">
        <v>55</v>
      </c>
      <c r="D158" t="s">
        <v>56</v>
      </c>
      <c r="E158">
        <v>266011505574.44</v>
      </c>
      <c r="F158">
        <v>28919.16</v>
      </c>
      <c r="G158">
        <v>6614971669.9300003</v>
      </c>
      <c r="H158">
        <v>16465913</v>
      </c>
      <c r="I158">
        <v>16827479</v>
      </c>
      <c r="J158">
        <v>17134607</v>
      </c>
      <c r="K158">
        <v>20.09</v>
      </c>
      <c r="L158">
        <v>-3.64</v>
      </c>
      <c r="M158">
        <v>0.19</v>
      </c>
      <c r="N158">
        <v>25.15</v>
      </c>
      <c r="O158">
        <v>39</v>
      </c>
      <c r="P158" t="s">
        <v>51</v>
      </c>
      <c r="Q158" t="s">
        <v>41</v>
      </c>
      <c r="R158" t="s">
        <v>74</v>
      </c>
      <c r="S158">
        <v>2010</v>
      </c>
      <c r="T158" t="s">
        <v>58</v>
      </c>
      <c r="U158">
        <v>33159</v>
      </c>
      <c r="V158">
        <v>23.69</v>
      </c>
      <c r="W158">
        <v>55.04</v>
      </c>
      <c r="X158">
        <v>22.18</v>
      </c>
      <c r="Y158">
        <v>35.65</v>
      </c>
    </row>
    <row r="159" spans="1:25" x14ac:dyDescent="0.3">
      <c r="A159" t="s">
        <v>135</v>
      </c>
      <c r="B159" t="str">
        <f t="shared" si="2"/>
        <v>Nov</v>
      </c>
      <c r="C159" t="s">
        <v>55</v>
      </c>
      <c r="D159" t="s">
        <v>56</v>
      </c>
      <c r="E159">
        <v>764380815187.71997</v>
      </c>
      <c r="F159">
        <v>51565.49</v>
      </c>
      <c r="G159">
        <v>1399336824.9200001</v>
      </c>
      <c r="H159">
        <v>9175718</v>
      </c>
      <c r="I159">
        <v>10187158</v>
      </c>
      <c r="J159">
        <v>11038850</v>
      </c>
      <c r="K159">
        <v>6.85</v>
      </c>
      <c r="L159">
        <v>4.26</v>
      </c>
      <c r="M159">
        <v>12</v>
      </c>
      <c r="N159">
        <v>-2.04</v>
      </c>
      <c r="O159">
        <v>14</v>
      </c>
      <c r="P159" t="s">
        <v>40</v>
      </c>
      <c r="Q159" t="s">
        <v>47</v>
      </c>
      <c r="R159" t="s">
        <v>35</v>
      </c>
      <c r="S159">
        <v>2012</v>
      </c>
      <c r="T159" t="s">
        <v>58</v>
      </c>
      <c r="U159">
        <v>24329</v>
      </c>
      <c r="V159">
        <v>61.6</v>
      </c>
      <c r="W159">
        <v>44.83</v>
      </c>
      <c r="X159">
        <v>93.82</v>
      </c>
      <c r="Y159">
        <v>11.76</v>
      </c>
    </row>
    <row r="160" spans="1:25" x14ac:dyDescent="0.3">
      <c r="A160" t="s">
        <v>121</v>
      </c>
      <c r="B160" t="str">
        <f t="shared" si="2"/>
        <v>Mar</v>
      </c>
      <c r="C160" t="s">
        <v>68</v>
      </c>
      <c r="D160" t="s">
        <v>69</v>
      </c>
      <c r="E160">
        <v>363150181604.35999</v>
      </c>
      <c r="F160">
        <v>29745.14</v>
      </c>
      <c r="G160">
        <v>20902097354.860001</v>
      </c>
      <c r="H160">
        <v>18522252</v>
      </c>
      <c r="I160">
        <v>21334820</v>
      </c>
      <c r="J160">
        <v>21535757</v>
      </c>
      <c r="K160">
        <v>48.86</v>
      </c>
      <c r="L160">
        <v>3.45</v>
      </c>
      <c r="M160">
        <v>5.67</v>
      </c>
      <c r="N160">
        <v>-15.81</v>
      </c>
      <c r="O160">
        <v>34</v>
      </c>
      <c r="P160" t="s">
        <v>27</v>
      </c>
      <c r="Q160" t="s">
        <v>34</v>
      </c>
      <c r="R160" t="s">
        <v>35</v>
      </c>
      <c r="S160">
        <v>2022</v>
      </c>
      <c r="T160" t="s">
        <v>36</v>
      </c>
      <c r="U160">
        <v>51122</v>
      </c>
      <c r="V160">
        <v>87.69</v>
      </c>
      <c r="W160">
        <v>90.52</v>
      </c>
      <c r="X160">
        <v>72.319999999999993</v>
      </c>
      <c r="Y160">
        <v>11.37</v>
      </c>
    </row>
    <row r="161" spans="1:25" x14ac:dyDescent="0.3">
      <c r="A161" t="s">
        <v>192</v>
      </c>
      <c r="B161" t="str">
        <f t="shared" si="2"/>
        <v>Jun</v>
      </c>
      <c r="C161" t="s">
        <v>55</v>
      </c>
      <c r="D161" t="s">
        <v>56</v>
      </c>
      <c r="E161">
        <v>85555871199.139999</v>
      </c>
      <c r="F161">
        <v>25797.89</v>
      </c>
      <c r="G161">
        <v>33527552187.610001</v>
      </c>
      <c r="H161">
        <v>8528159</v>
      </c>
      <c r="I161">
        <v>11074003</v>
      </c>
      <c r="J161">
        <v>11597939</v>
      </c>
      <c r="K161">
        <v>45.7</v>
      </c>
      <c r="L161">
        <v>4.9400000000000004</v>
      </c>
      <c r="M161">
        <v>-9.75</v>
      </c>
      <c r="N161">
        <v>-15.83</v>
      </c>
      <c r="O161">
        <v>166</v>
      </c>
      <c r="P161" t="s">
        <v>46</v>
      </c>
      <c r="Q161" t="s">
        <v>57</v>
      </c>
      <c r="R161" t="s">
        <v>35</v>
      </c>
      <c r="S161">
        <v>2019</v>
      </c>
      <c r="T161" t="s">
        <v>58</v>
      </c>
      <c r="U161">
        <v>7047</v>
      </c>
      <c r="V161">
        <v>29.96</v>
      </c>
      <c r="W161">
        <v>22.69</v>
      </c>
      <c r="X161">
        <v>53.66</v>
      </c>
      <c r="Y161">
        <v>24.22</v>
      </c>
    </row>
    <row r="162" spans="1:25" x14ac:dyDescent="0.3">
      <c r="A162" t="s">
        <v>193</v>
      </c>
      <c r="B162" t="str">
        <f t="shared" si="2"/>
        <v>Oct</v>
      </c>
      <c r="C162" t="s">
        <v>90</v>
      </c>
      <c r="D162" t="s">
        <v>91</v>
      </c>
      <c r="E162">
        <v>29085598747.240002</v>
      </c>
      <c r="F162">
        <v>38857.18</v>
      </c>
      <c r="G162">
        <v>48423016244.900002</v>
      </c>
      <c r="H162">
        <v>16833190</v>
      </c>
      <c r="I162">
        <v>20593755</v>
      </c>
      <c r="J162">
        <v>21105218</v>
      </c>
      <c r="K162">
        <v>29.02</v>
      </c>
      <c r="L162">
        <v>2.92</v>
      </c>
      <c r="M162">
        <v>19.73</v>
      </c>
      <c r="N162">
        <v>-19.86</v>
      </c>
      <c r="O162">
        <v>98</v>
      </c>
      <c r="P162" t="s">
        <v>51</v>
      </c>
      <c r="Q162" t="s">
        <v>47</v>
      </c>
      <c r="R162" t="s">
        <v>42</v>
      </c>
      <c r="S162">
        <v>2023</v>
      </c>
      <c r="T162" t="s">
        <v>30</v>
      </c>
      <c r="U162">
        <v>38247</v>
      </c>
      <c r="V162">
        <v>60.69</v>
      </c>
      <c r="W162">
        <v>82.61</v>
      </c>
      <c r="X162">
        <v>57.33</v>
      </c>
      <c r="Y162">
        <v>60.61</v>
      </c>
    </row>
    <row r="163" spans="1:25" x14ac:dyDescent="0.3">
      <c r="A163" t="s">
        <v>194</v>
      </c>
      <c r="B163" t="str">
        <f t="shared" si="2"/>
        <v>Oct</v>
      </c>
      <c r="C163" t="s">
        <v>55</v>
      </c>
      <c r="D163" t="s">
        <v>56</v>
      </c>
      <c r="E163">
        <v>107807969951.53999</v>
      </c>
      <c r="F163">
        <v>14185.27</v>
      </c>
      <c r="G163">
        <v>47397812901.5</v>
      </c>
      <c r="H163">
        <v>13296223</v>
      </c>
      <c r="I163">
        <v>18059628</v>
      </c>
      <c r="J163">
        <v>18913364</v>
      </c>
      <c r="K163">
        <v>3.51</v>
      </c>
      <c r="L163">
        <v>-1.92</v>
      </c>
      <c r="M163">
        <v>-16.850000000000001</v>
      </c>
      <c r="N163">
        <v>24.3</v>
      </c>
      <c r="O163">
        <v>78</v>
      </c>
      <c r="P163" t="s">
        <v>51</v>
      </c>
      <c r="Q163" t="s">
        <v>47</v>
      </c>
      <c r="R163" t="s">
        <v>35</v>
      </c>
      <c r="S163">
        <v>2012</v>
      </c>
      <c r="T163" t="s">
        <v>58</v>
      </c>
      <c r="U163">
        <v>43965</v>
      </c>
      <c r="V163">
        <v>56.95</v>
      </c>
      <c r="W163">
        <v>93.96</v>
      </c>
      <c r="X163">
        <v>53.86</v>
      </c>
      <c r="Y163">
        <v>18.53</v>
      </c>
    </row>
    <row r="164" spans="1:25" x14ac:dyDescent="0.3">
      <c r="A164" t="s">
        <v>195</v>
      </c>
      <c r="B164" t="str">
        <f t="shared" si="2"/>
        <v>Nov</v>
      </c>
      <c r="C164" t="s">
        <v>90</v>
      </c>
      <c r="D164" t="s">
        <v>91</v>
      </c>
      <c r="E164">
        <v>774078348142</v>
      </c>
      <c r="F164">
        <v>47276.57</v>
      </c>
      <c r="G164">
        <v>45949601762.709999</v>
      </c>
      <c r="H164">
        <v>9870168</v>
      </c>
      <c r="I164">
        <v>10928419</v>
      </c>
      <c r="J164">
        <v>11257904</v>
      </c>
      <c r="K164">
        <v>59.85</v>
      </c>
      <c r="L164">
        <v>0.64</v>
      </c>
      <c r="M164">
        <v>13.44</v>
      </c>
      <c r="N164">
        <v>-28.37</v>
      </c>
      <c r="O164">
        <v>89</v>
      </c>
      <c r="P164" t="s">
        <v>40</v>
      </c>
      <c r="Q164" t="s">
        <v>41</v>
      </c>
      <c r="R164" t="s">
        <v>35</v>
      </c>
      <c r="S164">
        <v>2022</v>
      </c>
      <c r="T164" t="s">
        <v>30</v>
      </c>
      <c r="U164">
        <v>17544</v>
      </c>
      <c r="V164">
        <v>38.32</v>
      </c>
      <c r="W164">
        <v>30.11</v>
      </c>
      <c r="X164">
        <v>54.96</v>
      </c>
      <c r="Y164">
        <v>88.55</v>
      </c>
    </row>
    <row r="165" spans="1:25" x14ac:dyDescent="0.3">
      <c r="A165" t="s">
        <v>196</v>
      </c>
      <c r="B165" t="str">
        <f t="shared" si="2"/>
        <v>Apr</v>
      </c>
      <c r="C165" t="s">
        <v>68</v>
      </c>
      <c r="D165" t="s">
        <v>69</v>
      </c>
      <c r="E165">
        <v>629552322093.22998</v>
      </c>
      <c r="F165">
        <v>29795.83</v>
      </c>
      <c r="G165">
        <v>9807481814.4099998</v>
      </c>
      <c r="H165">
        <v>5057285</v>
      </c>
      <c r="I165">
        <v>9243295</v>
      </c>
      <c r="J165">
        <v>10181110</v>
      </c>
      <c r="K165">
        <v>52.92</v>
      </c>
      <c r="L165">
        <v>-3</v>
      </c>
      <c r="M165">
        <v>16.420000000000002</v>
      </c>
      <c r="N165">
        <v>22.88</v>
      </c>
      <c r="O165">
        <v>145</v>
      </c>
      <c r="P165" t="s">
        <v>53</v>
      </c>
      <c r="Q165" t="s">
        <v>41</v>
      </c>
      <c r="R165" t="s">
        <v>64</v>
      </c>
      <c r="S165">
        <v>2013</v>
      </c>
      <c r="T165" t="s">
        <v>36</v>
      </c>
      <c r="U165">
        <v>62484</v>
      </c>
      <c r="V165">
        <v>57.79</v>
      </c>
      <c r="W165">
        <v>49.65</v>
      </c>
      <c r="X165">
        <v>89.77</v>
      </c>
      <c r="Y165">
        <v>21.44</v>
      </c>
    </row>
    <row r="166" spans="1:25" x14ac:dyDescent="0.3">
      <c r="A166" t="s">
        <v>197</v>
      </c>
      <c r="B166" t="str">
        <f t="shared" si="2"/>
        <v>Apr</v>
      </c>
      <c r="C166" t="s">
        <v>32</v>
      </c>
      <c r="D166" t="s">
        <v>33</v>
      </c>
      <c r="E166">
        <v>772014097032.81995</v>
      </c>
      <c r="F166">
        <v>62704.18</v>
      </c>
      <c r="G166">
        <v>27765575008.549999</v>
      </c>
      <c r="H166">
        <v>4028777</v>
      </c>
      <c r="I166">
        <v>7591828</v>
      </c>
      <c r="J166">
        <v>8408541</v>
      </c>
      <c r="K166">
        <v>11.11</v>
      </c>
      <c r="L166">
        <v>1.37</v>
      </c>
      <c r="M166">
        <v>6.93</v>
      </c>
      <c r="N166">
        <v>-32.5</v>
      </c>
      <c r="O166">
        <v>110</v>
      </c>
      <c r="P166" t="s">
        <v>51</v>
      </c>
      <c r="Q166" t="s">
        <v>41</v>
      </c>
      <c r="R166" t="s">
        <v>42</v>
      </c>
      <c r="S166">
        <v>2017</v>
      </c>
      <c r="T166" t="s">
        <v>36</v>
      </c>
      <c r="U166">
        <v>10142</v>
      </c>
      <c r="V166">
        <v>32.35</v>
      </c>
      <c r="W166">
        <v>98.26</v>
      </c>
      <c r="X166">
        <v>14.6</v>
      </c>
      <c r="Y166">
        <v>48.08</v>
      </c>
    </row>
    <row r="167" spans="1:25" x14ac:dyDescent="0.3">
      <c r="A167" t="s">
        <v>198</v>
      </c>
      <c r="B167" t="str">
        <f t="shared" si="2"/>
        <v>Jun</v>
      </c>
      <c r="C167" t="s">
        <v>78</v>
      </c>
      <c r="D167" t="s">
        <v>79</v>
      </c>
      <c r="E167">
        <v>50365770744.769997</v>
      </c>
      <c r="F167">
        <v>46865.73</v>
      </c>
      <c r="G167">
        <v>11220178599.809999</v>
      </c>
      <c r="H167">
        <v>14662332</v>
      </c>
      <c r="I167">
        <v>18941633</v>
      </c>
      <c r="J167">
        <v>19150662</v>
      </c>
      <c r="K167">
        <v>54.24</v>
      </c>
      <c r="L167">
        <v>-1.07</v>
      </c>
      <c r="M167">
        <v>18.48</v>
      </c>
      <c r="N167">
        <v>39.89</v>
      </c>
      <c r="O167">
        <v>41</v>
      </c>
      <c r="P167" t="s">
        <v>53</v>
      </c>
      <c r="Q167" t="s">
        <v>57</v>
      </c>
      <c r="R167" t="s">
        <v>35</v>
      </c>
      <c r="S167">
        <v>2021</v>
      </c>
      <c r="T167" t="s">
        <v>36</v>
      </c>
      <c r="U167">
        <v>48912</v>
      </c>
      <c r="V167">
        <v>52.51</v>
      </c>
      <c r="W167">
        <v>28.54</v>
      </c>
      <c r="X167">
        <v>77.5</v>
      </c>
      <c r="Y167">
        <v>46.99</v>
      </c>
    </row>
    <row r="168" spans="1:25" x14ac:dyDescent="0.3">
      <c r="A168" t="s">
        <v>115</v>
      </c>
      <c r="B168" t="str">
        <f t="shared" si="2"/>
        <v>May</v>
      </c>
      <c r="C168" t="s">
        <v>49</v>
      </c>
      <c r="D168" t="s">
        <v>50</v>
      </c>
      <c r="E168">
        <v>285153598119.02002</v>
      </c>
      <c r="F168">
        <v>48715.29</v>
      </c>
      <c r="G168">
        <v>3484057437.6900001</v>
      </c>
      <c r="H168">
        <v>16020645</v>
      </c>
      <c r="I168">
        <v>19723700</v>
      </c>
      <c r="J168">
        <v>19934445</v>
      </c>
      <c r="K168">
        <v>0.25</v>
      </c>
      <c r="L168">
        <v>0.22</v>
      </c>
      <c r="M168">
        <v>-4.2699999999999996</v>
      </c>
      <c r="N168">
        <v>-7.79</v>
      </c>
      <c r="O168">
        <v>57</v>
      </c>
      <c r="P168" t="s">
        <v>53</v>
      </c>
      <c r="Q168" t="s">
        <v>47</v>
      </c>
      <c r="R168" t="s">
        <v>35</v>
      </c>
      <c r="S168">
        <v>2020</v>
      </c>
      <c r="T168" t="s">
        <v>36</v>
      </c>
      <c r="U168">
        <v>2904</v>
      </c>
      <c r="V168">
        <v>20.190000000000001</v>
      </c>
      <c r="W168">
        <v>45.07</v>
      </c>
      <c r="X168">
        <v>38.26</v>
      </c>
      <c r="Y168">
        <v>25.07</v>
      </c>
    </row>
    <row r="169" spans="1:25" x14ac:dyDescent="0.3">
      <c r="A169" t="s">
        <v>133</v>
      </c>
      <c r="B169" t="str">
        <f t="shared" si="2"/>
        <v>Jan</v>
      </c>
      <c r="C169" t="s">
        <v>32</v>
      </c>
      <c r="D169" t="s">
        <v>33</v>
      </c>
      <c r="E169">
        <v>604221389807.91003</v>
      </c>
      <c r="F169">
        <v>67748.100000000006</v>
      </c>
      <c r="G169">
        <v>35083589508.540001</v>
      </c>
      <c r="H169">
        <v>12225942</v>
      </c>
      <c r="I169">
        <v>15216937</v>
      </c>
      <c r="J169">
        <v>15379213</v>
      </c>
      <c r="K169">
        <v>36.159999999999997</v>
      </c>
      <c r="L169">
        <v>1.1200000000000001</v>
      </c>
      <c r="M169">
        <v>-3.82</v>
      </c>
      <c r="N169">
        <v>-23.44</v>
      </c>
      <c r="O169">
        <v>132</v>
      </c>
      <c r="P169" t="s">
        <v>40</v>
      </c>
      <c r="Q169" t="s">
        <v>28</v>
      </c>
      <c r="R169" t="s">
        <v>42</v>
      </c>
      <c r="S169">
        <v>2012</v>
      </c>
      <c r="T169" t="s">
        <v>36</v>
      </c>
      <c r="U169">
        <v>59218</v>
      </c>
      <c r="V169">
        <v>46.4</v>
      </c>
      <c r="W169">
        <v>94.56</v>
      </c>
      <c r="X169">
        <v>95.01</v>
      </c>
      <c r="Y169">
        <v>84.49</v>
      </c>
    </row>
    <row r="170" spans="1:25" x14ac:dyDescent="0.3">
      <c r="A170" t="s">
        <v>59</v>
      </c>
      <c r="B170" t="str">
        <f t="shared" si="2"/>
        <v>Jan</v>
      </c>
      <c r="C170" t="s">
        <v>55</v>
      </c>
      <c r="D170" t="s">
        <v>56</v>
      </c>
      <c r="E170">
        <v>432726436313.09998</v>
      </c>
      <c r="F170">
        <v>58296.72</v>
      </c>
      <c r="G170">
        <v>32664180563.610001</v>
      </c>
      <c r="H170">
        <v>11373020</v>
      </c>
      <c r="I170">
        <v>14090887</v>
      </c>
      <c r="J170">
        <v>14746714</v>
      </c>
      <c r="K170">
        <v>15.72</v>
      </c>
      <c r="L170">
        <v>2.82</v>
      </c>
      <c r="M170">
        <v>15.34</v>
      </c>
      <c r="N170">
        <v>-2.92</v>
      </c>
      <c r="O170">
        <v>32</v>
      </c>
      <c r="P170" t="s">
        <v>46</v>
      </c>
      <c r="Q170" t="s">
        <v>57</v>
      </c>
      <c r="R170" t="s">
        <v>74</v>
      </c>
      <c r="S170">
        <v>2018</v>
      </c>
      <c r="T170" t="s">
        <v>58</v>
      </c>
      <c r="U170">
        <v>51337</v>
      </c>
      <c r="V170">
        <v>58.23</v>
      </c>
      <c r="W170">
        <v>60.45</v>
      </c>
      <c r="X170">
        <v>64.67</v>
      </c>
      <c r="Y170">
        <v>98.17</v>
      </c>
    </row>
    <row r="171" spans="1:25" x14ac:dyDescent="0.3">
      <c r="A171" t="s">
        <v>92</v>
      </c>
      <c r="B171" t="str">
        <f t="shared" si="2"/>
        <v>Jan</v>
      </c>
      <c r="C171" t="s">
        <v>38</v>
      </c>
      <c r="D171" t="s">
        <v>39</v>
      </c>
      <c r="E171">
        <v>696990243324.87</v>
      </c>
      <c r="F171">
        <v>6487.71</v>
      </c>
      <c r="G171">
        <v>850616695.01999998</v>
      </c>
      <c r="H171">
        <v>18833815</v>
      </c>
      <c r="I171">
        <v>18991825</v>
      </c>
      <c r="J171">
        <v>19955833</v>
      </c>
      <c r="K171">
        <v>20.99</v>
      </c>
      <c r="L171">
        <v>3</v>
      </c>
      <c r="M171">
        <v>-3.8</v>
      </c>
      <c r="N171">
        <v>-14.17</v>
      </c>
      <c r="O171">
        <v>10</v>
      </c>
      <c r="P171" t="s">
        <v>27</v>
      </c>
      <c r="Q171" t="s">
        <v>47</v>
      </c>
      <c r="R171" t="s">
        <v>29</v>
      </c>
      <c r="S171">
        <v>2020</v>
      </c>
      <c r="T171" t="s">
        <v>36</v>
      </c>
      <c r="U171">
        <v>57588</v>
      </c>
      <c r="V171">
        <v>35.9</v>
      </c>
      <c r="W171">
        <v>45.67</v>
      </c>
      <c r="X171">
        <v>36.68</v>
      </c>
      <c r="Y171">
        <v>81.62</v>
      </c>
    </row>
    <row r="172" spans="1:25" x14ac:dyDescent="0.3">
      <c r="A172" t="s">
        <v>188</v>
      </c>
      <c r="B172" t="str">
        <f t="shared" si="2"/>
        <v>Dec</v>
      </c>
      <c r="C172" t="s">
        <v>49</v>
      </c>
      <c r="D172" t="s">
        <v>50</v>
      </c>
      <c r="E172">
        <v>723009898161.91003</v>
      </c>
      <c r="F172">
        <v>20099.900000000001</v>
      </c>
      <c r="G172">
        <v>28914490939.049999</v>
      </c>
      <c r="H172">
        <v>11289285</v>
      </c>
      <c r="I172">
        <v>13695685</v>
      </c>
      <c r="J172">
        <v>14088708</v>
      </c>
      <c r="K172">
        <v>4.17</v>
      </c>
      <c r="L172">
        <v>3.56</v>
      </c>
      <c r="M172">
        <v>19.64</v>
      </c>
      <c r="N172">
        <v>-1.98</v>
      </c>
      <c r="O172">
        <v>8</v>
      </c>
      <c r="P172" t="s">
        <v>40</v>
      </c>
      <c r="Q172" t="s">
        <v>28</v>
      </c>
      <c r="R172" t="s">
        <v>74</v>
      </c>
      <c r="S172">
        <v>2022</v>
      </c>
      <c r="T172" t="s">
        <v>36</v>
      </c>
      <c r="U172">
        <v>50807</v>
      </c>
      <c r="V172">
        <v>53.2</v>
      </c>
      <c r="W172">
        <v>25.94</v>
      </c>
      <c r="X172">
        <v>60.94</v>
      </c>
      <c r="Y172">
        <v>25.5</v>
      </c>
    </row>
    <row r="173" spans="1:25" x14ac:dyDescent="0.3">
      <c r="A173" t="s">
        <v>150</v>
      </c>
      <c r="B173" t="str">
        <f t="shared" si="2"/>
        <v>Aug</v>
      </c>
      <c r="C173" t="s">
        <v>60</v>
      </c>
      <c r="D173" t="s">
        <v>61</v>
      </c>
      <c r="E173">
        <v>785288922648.75</v>
      </c>
      <c r="F173">
        <v>51197.65</v>
      </c>
      <c r="G173">
        <v>34461100966.720001</v>
      </c>
      <c r="H173">
        <v>1146119</v>
      </c>
      <c r="I173">
        <v>5196525</v>
      </c>
      <c r="J173">
        <v>6090324</v>
      </c>
      <c r="K173">
        <v>26.98</v>
      </c>
      <c r="L173">
        <v>2.54</v>
      </c>
      <c r="M173">
        <v>-6.48</v>
      </c>
      <c r="N173">
        <v>19.079999999999998</v>
      </c>
      <c r="O173">
        <v>102</v>
      </c>
      <c r="P173" t="s">
        <v>53</v>
      </c>
      <c r="Q173" t="s">
        <v>28</v>
      </c>
      <c r="R173" t="s">
        <v>64</v>
      </c>
      <c r="S173">
        <v>2013</v>
      </c>
      <c r="T173" t="s">
        <v>30</v>
      </c>
      <c r="U173">
        <v>987</v>
      </c>
      <c r="V173">
        <v>48.21</v>
      </c>
      <c r="W173">
        <v>89.44</v>
      </c>
      <c r="X173">
        <v>81.16</v>
      </c>
      <c r="Y173">
        <v>46.07</v>
      </c>
    </row>
    <row r="174" spans="1:25" x14ac:dyDescent="0.3">
      <c r="A174" t="s">
        <v>199</v>
      </c>
      <c r="B174" t="str">
        <f t="shared" si="2"/>
        <v>Jan</v>
      </c>
      <c r="C174" t="s">
        <v>44</v>
      </c>
      <c r="D174" t="s">
        <v>45</v>
      </c>
      <c r="E174">
        <v>883240070876.44995</v>
      </c>
      <c r="F174">
        <v>8788.27</v>
      </c>
      <c r="G174">
        <v>31390623559.009998</v>
      </c>
      <c r="H174">
        <v>2334861</v>
      </c>
      <c r="I174">
        <v>6744057</v>
      </c>
      <c r="J174">
        <v>6860905</v>
      </c>
      <c r="K174">
        <v>4.3600000000000003</v>
      </c>
      <c r="L174">
        <v>-1.49</v>
      </c>
      <c r="M174">
        <v>-15.27</v>
      </c>
      <c r="N174">
        <v>-29.22</v>
      </c>
      <c r="O174">
        <v>173</v>
      </c>
      <c r="P174" t="s">
        <v>51</v>
      </c>
      <c r="Q174" t="s">
        <v>47</v>
      </c>
      <c r="R174" t="s">
        <v>42</v>
      </c>
      <c r="S174">
        <v>2018</v>
      </c>
      <c r="T174" t="s">
        <v>36</v>
      </c>
      <c r="U174">
        <v>63704</v>
      </c>
      <c r="V174">
        <v>98.03</v>
      </c>
      <c r="W174">
        <v>46.13</v>
      </c>
      <c r="X174">
        <v>48.46</v>
      </c>
      <c r="Y174">
        <v>88.35</v>
      </c>
    </row>
    <row r="175" spans="1:25" x14ac:dyDescent="0.3">
      <c r="A175" t="s">
        <v>200</v>
      </c>
      <c r="B175" t="str">
        <f t="shared" si="2"/>
        <v>Apr</v>
      </c>
      <c r="C175" t="s">
        <v>32</v>
      </c>
      <c r="D175" t="s">
        <v>33</v>
      </c>
      <c r="E175">
        <v>248190844976.29001</v>
      </c>
      <c r="F175">
        <v>48292.959999999999</v>
      </c>
      <c r="G175">
        <v>33906414166.16</v>
      </c>
      <c r="H175">
        <v>6724169</v>
      </c>
      <c r="I175">
        <v>10944573</v>
      </c>
      <c r="J175">
        <v>11396456</v>
      </c>
      <c r="K175">
        <v>48.17</v>
      </c>
      <c r="L175">
        <v>-3.7</v>
      </c>
      <c r="M175">
        <v>7.15</v>
      </c>
      <c r="N175">
        <v>-0.24</v>
      </c>
      <c r="O175">
        <v>134</v>
      </c>
      <c r="P175" t="s">
        <v>27</v>
      </c>
      <c r="Q175" t="s">
        <v>47</v>
      </c>
      <c r="R175" t="s">
        <v>74</v>
      </c>
      <c r="S175">
        <v>2023</v>
      </c>
      <c r="T175" t="s">
        <v>36</v>
      </c>
      <c r="U175">
        <v>4225</v>
      </c>
      <c r="V175">
        <v>37.33</v>
      </c>
      <c r="W175">
        <v>83.13</v>
      </c>
      <c r="X175">
        <v>19.43</v>
      </c>
      <c r="Y175">
        <v>87.19</v>
      </c>
    </row>
    <row r="176" spans="1:25" x14ac:dyDescent="0.3">
      <c r="A176" t="s">
        <v>201</v>
      </c>
      <c r="B176" t="str">
        <f t="shared" si="2"/>
        <v>May</v>
      </c>
      <c r="C176" t="s">
        <v>44</v>
      </c>
      <c r="D176" t="s">
        <v>45</v>
      </c>
      <c r="E176">
        <v>418923487145.39001</v>
      </c>
      <c r="F176">
        <v>17566.89</v>
      </c>
      <c r="G176">
        <v>5669382587.3299999</v>
      </c>
      <c r="H176">
        <v>6022523</v>
      </c>
      <c r="I176">
        <v>10358405</v>
      </c>
      <c r="J176">
        <v>11035689</v>
      </c>
      <c r="K176">
        <v>29.53</v>
      </c>
      <c r="L176">
        <v>2.16</v>
      </c>
      <c r="M176">
        <v>-19.96</v>
      </c>
      <c r="N176">
        <v>-38.22</v>
      </c>
      <c r="O176">
        <v>40</v>
      </c>
      <c r="P176" t="s">
        <v>27</v>
      </c>
      <c r="Q176" t="s">
        <v>41</v>
      </c>
      <c r="R176" t="s">
        <v>74</v>
      </c>
      <c r="S176">
        <v>2021</v>
      </c>
      <c r="T176" t="s">
        <v>36</v>
      </c>
      <c r="U176">
        <v>48491</v>
      </c>
      <c r="V176">
        <v>41.28</v>
      </c>
      <c r="W176">
        <v>65.05</v>
      </c>
      <c r="X176">
        <v>44.69</v>
      </c>
      <c r="Y176">
        <v>60.31</v>
      </c>
    </row>
    <row r="177" spans="1:25" x14ac:dyDescent="0.3">
      <c r="A177" t="s">
        <v>202</v>
      </c>
      <c r="B177" t="str">
        <f t="shared" si="2"/>
        <v>Aug</v>
      </c>
      <c r="C177" t="s">
        <v>55</v>
      </c>
      <c r="D177" t="s">
        <v>56</v>
      </c>
      <c r="E177">
        <v>598951365228.92004</v>
      </c>
      <c r="F177">
        <v>64412.87</v>
      </c>
      <c r="G177">
        <v>6724623604.3000002</v>
      </c>
      <c r="H177">
        <v>11289723</v>
      </c>
      <c r="I177">
        <v>12687975</v>
      </c>
      <c r="J177">
        <v>12948427</v>
      </c>
      <c r="K177">
        <v>33.1</v>
      </c>
      <c r="L177">
        <v>2.2400000000000002</v>
      </c>
      <c r="M177">
        <v>-12.45</v>
      </c>
      <c r="N177">
        <v>-33.74</v>
      </c>
      <c r="O177">
        <v>161</v>
      </c>
      <c r="P177" t="s">
        <v>46</v>
      </c>
      <c r="Q177" t="s">
        <v>34</v>
      </c>
      <c r="R177" t="s">
        <v>64</v>
      </c>
      <c r="S177">
        <v>2013</v>
      </c>
      <c r="T177" t="s">
        <v>58</v>
      </c>
      <c r="U177">
        <v>42060</v>
      </c>
      <c r="V177">
        <v>14.26</v>
      </c>
      <c r="W177">
        <v>87.39</v>
      </c>
      <c r="X177">
        <v>57.93</v>
      </c>
      <c r="Y177">
        <v>96.95</v>
      </c>
    </row>
    <row r="178" spans="1:25" x14ac:dyDescent="0.3">
      <c r="A178" t="s">
        <v>203</v>
      </c>
      <c r="B178" t="str">
        <f t="shared" si="2"/>
        <v>Feb</v>
      </c>
      <c r="C178" t="s">
        <v>32</v>
      </c>
      <c r="D178" t="s">
        <v>33</v>
      </c>
      <c r="E178">
        <v>646493185734.56995</v>
      </c>
      <c r="F178">
        <v>45988.91</v>
      </c>
      <c r="G178">
        <v>44831033674.610001</v>
      </c>
      <c r="H178">
        <v>18389046</v>
      </c>
      <c r="I178">
        <v>19564744</v>
      </c>
      <c r="J178">
        <v>20039783</v>
      </c>
      <c r="K178">
        <v>52.74</v>
      </c>
      <c r="L178">
        <v>-1.87</v>
      </c>
      <c r="M178">
        <v>-7.92</v>
      </c>
      <c r="N178">
        <v>-29.72</v>
      </c>
      <c r="O178">
        <v>46</v>
      </c>
      <c r="P178" t="s">
        <v>51</v>
      </c>
      <c r="Q178" t="s">
        <v>47</v>
      </c>
      <c r="R178" t="s">
        <v>29</v>
      </c>
      <c r="S178">
        <v>2019</v>
      </c>
      <c r="T178" t="s">
        <v>36</v>
      </c>
      <c r="U178">
        <v>58406</v>
      </c>
      <c r="V178">
        <v>33.44</v>
      </c>
      <c r="W178">
        <v>34.61</v>
      </c>
      <c r="X178">
        <v>59.9</v>
      </c>
      <c r="Y178">
        <v>14.88</v>
      </c>
    </row>
    <row r="179" spans="1:25" x14ac:dyDescent="0.3">
      <c r="A179" t="s">
        <v>137</v>
      </c>
      <c r="B179" t="str">
        <f t="shared" si="2"/>
        <v>Oct</v>
      </c>
      <c r="C179" t="s">
        <v>60</v>
      </c>
      <c r="D179" t="s">
        <v>61</v>
      </c>
      <c r="E179">
        <v>472765404832.39001</v>
      </c>
      <c r="F179">
        <v>15076.93</v>
      </c>
      <c r="G179">
        <v>10598326754.83</v>
      </c>
      <c r="H179">
        <v>17251367</v>
      </c>
      <c r="I179">
        <v>21053374</v>
      </c>
      <c r="J179">
        <v>21859911</v>
      </c>
      <c r="K179">
        <v>43.12</v>
      </c>
      <c r="L179">
        <v>0.43</v>
      </c>
      <c r="M179">
        <v>-0.93</v>
      </c>
      <c r="N179">
        <v>-5.0599999999999996</v>
      </c>
      <c r="O179">
        <v>37</v>
      </c>
      <c r="P179" t="s">
        <v>40</v>
      </c>
      <c r="Q179" t="s">
        <v>28</v>
      </c>
      <c r="R179" t="s">
        <v>74</v>
      </c>
      <c r="S179">
        <v>2015</v>
      </c>
      <c r="T179" t="s">
        <v>30</v>
      </c>
      <c r="U179">
        <v>27405</v>
      </c>
      <c r="V179">
        <v>96.08</v>
      </c>
      <c r="W179">
        <v>21.87</v>
      </c>
      <c r="X179">
        <v>39.9</v>
      </c>
      <c r="Y179">
        <v>65.94</v>
      </c>
    </row>
    <row r="180" spans="1:25" x14ac:dyDescent="0.3">
      <c r="A180" t="s">
        <v>204</v>
      </c>
      <c r="B180" t="str">
        <f t="shared" si="2"/>
        <v>Nov</v>
      </c>
      <c r="C180" t="s">
        <v>68</v>
      </c>
      <c r="D180" t="s">
        <v>69</v>
      </c>
      <c r="E180">
        <v>129422197123.14</v>
      </c>
      <c r="F180">
        <v>17329</v>
      </c>
      <c r="G180">
        <v>47409524100.419998</v>
      </c>
      <c r="H180">
        <v>11205911</v>
      </c>
      <c r="I180">
        <v>14858857</v>
      </c>
      <c r="J180">
        <v>15524072</v>
      </c>
      <c r="K180">
        <v>54.12</v>
      </c>
      <c r="L180">
        <v>-4.71</v>
      </c>
      <c r="M180">
        <v>-12.47</v>
      </c>
      <c r="N180">
        <v>38.020000000000003</v>
      </c>
      <c r="O180">
        <v>157</v>
      </c>
      <c r="P180" t="s">
        <v>51</v>
      </c>
      <c r="Q180" t="s">
        <v>57</v>
      </c>
      <c r="R180" t="s">
        <v>74</v>
      </c>
      <c r="S180">
        <v>2017</v>
      </c>
      <c r="T180" t="s">
        <v>36</v>
      </c>
      <c r="U180">
        <v>22124</v>
      </c>
      <c r="V180">
        <v>98.42</v>
      </c>
      <c r="W180">
        <v>44.78</v>
      </c>
      <c r="X180">
        <v>46.26</v>
      </c>
      <c r="Y180">
        <v>37.979999999999997</v>
      </c>
    </row>
    <row r="181" spans="1:25" x14ac:dyDescent="0.3">
      <c r="A181" t="s">
        <v>205</v>
      </c>
      <c r="B181" t="str">
        <f t="shared" si="2"/>
        <v>Dec</v>
      </c>
      <c r="C181" t="s">
        <v>60</v>
      </c>
      <c r="D181" t="s">
        <v>61</v>
      </c>
      <c r="E181">
        <v>127169461791.78</v>
      </c>
      <c r="F181">
        <v>8024.06</v>
      </c>
      <c r="G181">
        <v>32656872280.330002</v>
      </c>
      <c r="H181">
        <v>1705084</v>
      </c>
      <c r="I181">
        <v>6538645</v>
      </c>
      <c r="J181">
        <v>6964341</v>
      </c>
      <c r="K181">
        <v>51.55</v>
      </c>
      <c r="L181">
        <v>3.65</v>
      </c>
      <c r="M181">
        <v>16.28</v>
      </c>
      <c r="N181">
        <v>-28.25</v>
      </c>
      <c r="O181">
        <v>106</v>
      </c>
      <c r="P181" t="s">
        <v>46</v>
      </c>
      <c r="Q181" t="s">
        <v>47</v>
      </c>
      <c r="R181" t="s">
        <v>29</v>
      </c>
      <c r="S181">
        <v>2019</v>
      </c>
      <c r="T181" t="s">
        <v>30</v>
      </c>
      <c r="U181">
        <v>20991</v>
      </c>
      <c r="V181">
        <v>43.08</v>
      </c>
      <c r="W181">
        <v>46</v>
      </c>
      <c r="X181">
        <v>48.6</v>
      </c>
      <c r="Y181">
        <v>99.22</v>
      </c>
    </row>
    <row r="182" spans="1:25" x14ac:dyDescent="0.3">
      <c r="A182" t="s">
        <v>206</v>
      </c>
      <c r="B182" t="str">
        <f t="shared" si="2"/>
        <v>Jul</v>
      </c>
      <c r="C182" t="s">
        <v>55</v>
      </c>
      <c r="D182" t="s">
        <v>56</v>
      </c>
      <c r="E182">
        <v>702171611303.18994</v>
      </c>
      <c r="F182">
        <v>10812.64</v>
      </c>
      <c r="G182">
        <v>15438057116.540001</v>
      </c>
      <c r="H182">
        <v>18620604</v>
      </c>
      <c r="I182">
        <v>20018376</v>
      </c>
      <c r="J182">
        <v>21013498</v>
      </c>
      <c r="K182">
        <v>41.29</v>
      </c>
      <c r="L182">
        <v>-2.5299999999999998</v>
      </c>
      <c r="M182">
        <v>-16.59</v>
      </c>
      <c r="N182">
        <v>26.84</v>
      </c>
      <c r="O182">
        <v>187</v>
      </c>
      <c r="P182" t="s">
        <v>40</v>
      </c>
      <c r="Q182" t="s">
        <v>41</v>
      </c>
      <c r="R182" t="s">
        <v>64</v>
      </c>
      <c r="S182">
        <v>2010</v>
      </c>
      <c r="T182" t="s">
        <v>58</v>
      </c>
      <c r="U182">
        <v>30703</v>
      </c>
      <c r="V182">
        <v>75.760000000000005</v>
      </c>
      <c r="W182">
        <v>26.54</v>
      </c>
      <c r="X182">
        <v>83.89</v>
      </c>
      <c r="Y182">
        <v>48.32</v>
      </c>
    </row>
    <row r="183" spans="1:25" x14ac:dyDescent="0.3">
      <c r="A183" t="s">
        <v>207</v>
      </c>
      <c r="B183" t="str">
        <f t="shared" si="2"/>
        <v>Apr</v>
      </c>
      <c r="C183" t="s">
        <v>25</v>
      </c>
      <c r="D183" t="s">
        <v>26</v>
      </c>
      <c r="E183">
        <v>55883543686.940002</v>
      </c>
      <c r="F183">
        <v>50193.79</v>
      </c>
      <c r="G183">
        <v>26470226241.82</v>
      </c>
      <c r="H183">
        <v>4768900</v>
      </c>
      <c r="I183">
        <v>8357070</v>
      </c>
      <c r="J183">
        <v>8821562</v>
      </c>
      <c r="K183">
        <v>20.85</v>
      </c>
      <c r="L183">
        <v>-4.67</v>
      </c>
      <c r="M183">
        <v>-7.85</v>
      </c>
      <c r="N183">
        <v>-4.91</v>
      </c>
      <c r="O183">
        <v>73</v>
      </c>
      <c r="P183" t="s">
        <v>51</v>
      </c>
      <c r="Q183" t="s">
        <v>28</v>
      </c>
      <c r="R183" t="s">
        <v>74</v>
      </c>
      <c r="S183">
        <v>2023</v>
      </c>
      <c r="T183" t="s">
        <v>30</v>
      </c>
      <c r="U183">
        <v>57479</v>
      </c>
      <c r="V183">
        <v>28.03</v>
      </c>
      <c r="W183">
        <v>67.040000000000006</v>
      </c>
      <c r="X183">
        <v>35.950000000000003</v>
      </c>
      <c r="Y183">
        <v>24.83</v>
      </c>
    </row>
    <row r="184" spans="1:25" x14ac:dyDescent="0.3">
      <c r="A184" t="s">
        <v>179</v>
      </c>
      <c r="B184" t="str">
        <f t="shared" si="2"/>
        <v>Jul</v>
      </c>
      <c r="C184" t="s">
        <v>49</v>
      </c>
      <c r="D184" t="s">
        <v>50</v>
      </c>
      <c r="E184">
        <v>715663050642.21997</v>
      </c>
      <c r="F184">
        <v>25974.63</v>
      </c>
      <c r="G184">
        <v>47305434724.040001</v>
      </c>
      <c r="H184">
        <v>6467264</v>
      </c>
      <c r="I184">
        <v>11329411</v>
      </c>
      <c r="J184">
        <v>11614392</v>
      </c>
      <c r="K184">
        <v>30.83</v>
      </c>
      <c r="L184">
        <v>3.59</v>
      </c>
      <c r="M184">
        <v>-14.96</v>
      </c>
      <c r="N184">
        <v>8.92</v>
      </c>
      <c r="O184">
        <v>78</v>
      </c>
      <c r="P184" t="s">
        <v>53</v>
      </c>
      <c r="Q184" t="s">
        <v>28</v>
      </c>
      <c r="R184" t="s">
        <v>74</v>
      </c>
      <c r="S184">
        <v>2020</v>
      </c>
      <c r="T184" t="s">
        <v>36</v>
      </c>
      <c r="U184">
        <v>17204</v>
      </c>
      <c r="V184">
        <v>59.81</v>
      </c>
      <c r="W184">
        <v>64.099999999999994</v>
      </c>
      <c r="X184">
        <v>14.63</v>
      </c>
      <c r="Y184">
        <v>18.12</v>
      </c>
    </row>
    <row r="185" spans="1:25" x14ac:dyDescent="0.3">
      <c r="A185" t="s">
        <v>208</v>
      </c>
      <c r="B185" t="str">
        <f t="shared" si="2"/>
        <v>Jan</v>
      </c>
      <c r="C185" t="s">
        <v>60</v>
      </c>
      <c r="D185" t="s">
        <v>61</v>
      </c>
      <c r="E185">
        <v>839948573791.73999</v>
      </c>
      <c r="F185">
        <v>9015.25</v>
      </c>
      <c r="G185">
        <v>14920283053.25</v>
      </c>
      <c r="H185">
        <v>8755762</v>
      </c>
      <c r="I185">
        <v>10997893</v>
      </c>
      <c r="J185">
        <v>11321119</v>
      </c>
      <c r="K185">
        <v>26.24</v>
      </c>
      <c r="L185">
        <v>0.65</v>
      </c>
      <c r="M185">
        <v>14.98</v>
      </c>
      <c r="N185">
        <v>27.13</v>
      </c>
      <c r="O185">
        <v>174</v>
      </c>
      <c r="P185" t="s">
        <v>40</v>
      </c>
      <c r="Q185" t="s">
        <v>28</v>
      </c>
      <c r="R185" t="s">
        <v>74</v>
      </c>
      <c r="S185">
        <v>2020</v>
      </c>
      <c r="T185" t="s">
        <v>30</v>
      </c>
      <c r="U185">
        <v>50799</v>
      </c>
      <c r="V185">
        <v>82.04</v>
      </c>
      <c r="W185">
        <v>89.24</v>
      </c>
      <c r="X185">
        <v>18</v>
      </c>
      <c r="Y185">
        <v>33.15</v>
      </c>
    </row>
    <row r="186" spans="1:25" x14ac:dyDescent="0.3">
      <c r="A186" t="s">
        <v>164</v>
      </c>
      <c r="B186" t="str">
        <f t="shared" si="2"/>
        <v>Sep</v>
      </c>
      <c r="C186" t="s">
        <v>44</v>
      </c>
      <c r="D186" t="s">
        <v>45</v>
      </c>
      <c r="E186">
        <v>707241029065.79004</v>
      </c>
      <c r="F186">
        <v>24949.75</v>
      </c>
      <c r="G186">
        <v>49533920194.300003</v>
      </c>
      <c r="H186">
        <v>9746399</v>
      </c>
      <c r="I186">
        <v>14327168</v>
      </c>
      <c r="J186">
        <v>14548843</v>
      </c>
      <c r="K186">
        <v>31.08</v>
      </c>
      <c r="L186">
        <v>3.29</v>
      </c>
      <c r="M186">
        <v>-1.97</v>
      </c>
      <c r="N186">
        <v>4.1100000000000003</v>
      </c>
      <c r="O186">
        <v>114</v>
      </c>
      <c r="P186" t="s">
        <v>40</v>
      </c>
      <c r="Q186" t="s">
        <v>28</v>
      </c>
      <c r="R186" t="s">
        <v>42</v>
      </c>
      <c r="S186">
        <v>2023</v>
      </c>
      <c r="T186" t="s">
        <v>36</v>
      </c>
      <c r="U186">
        <v>44472</v>
      </c>
      <c r="V186">
        <v>12.08</v>
      </c>
      <c r="W186">
        <v>86.76</v>
      </c>
      <c r="X186">
        <v>29.5</v>
      </c>
      <c r="Y186">
        <v>63.12</v>
      </c>
    </row>
    <row r="187" spans="1:25" x14ac:dyDescent="0.3">
      <c r="A187" t="s">
        <v>209</v>
      </c>
      <c r="B187" t="str">
        <f t="shared" si="2"/>
        <v>Dec</v>
      </c>
      <c r="C187" t="s">
        <v>38</v>
      </c>
      <c r="D187" t="s">
        <v>39</v>
      </c>
      <c r="E187">
        <v>532355709848.09998</v>
      </c>
      <c r="F187">
        <v>20578.11</v>
      </c>
      <c r="G187">
        <v>20317910226.599998</v>
      </c>
      <c r="H187">
        <v>13836891</v>
      </c>
      <c r="I187">
        <v>14037026</v>
      </c>
      <c r="J187">
        <v>14501181</v>
      </c>
      <c r="K187">
        <v>8.75</v>
      </c>
      <c r="L187">
        <v>2.37</v>
      </c>
      <c r="M187">
        <v>-5.72</v>
      </c>
      <c r="N187">
        <v>12.3</v>
      </c>
      <c r="O187">
        <v>193</v>
      </c>
      <c r="P187" t="s">
        <v>51</v>
      </c>
      <c r="Q187" t="s">
        <v>28</v>
      </c>
      <c r="R187" t="s">
        <v>64</v>
      </c>
      <c r="S187">
        <v>2021</v>
      </c>
      <c r="T187" t="s">
        <v>36</v>
      </c>
      <c r="U187">
        <v>3989</v>
      </c>
      <c r="V187">
        <v>90.95</v>
      </c>
      <c r="W187">
        <v>89.51</v>
      </c>
      <c r="X187">
        <v>54.3</v>
      </c>
      <c r="Y187">
        <v>64.22</v>
      </c>
    </row>
    <row r="188" spans="1:25" x14ac:dyDescent="0.3">
      <c r="A188" t="s">
        <v>210</v>
      </c>
      <c r="B188" t="str">
        <f t="shared" si="2"/>
        <v>Feb</v>
      </c>
      <c r="C188" t="s">
        <v>32</v>
      </c>
      <c r="D188" t="s">
        <v>33</v>
      </c>
      <c r="E188">
        <v>575502459618.05005</v>
      </c>
      <c r="F188">
        <v>56220.51</v>
      </c>
      <c r="G188">
        <v>31854189006.099998</v>
      </c>
      <c r="H188">
        <v>12547549</v>
      </c>
      <c r="I188">
        <v>13071965</v>
      </c>
      <c r="J188">
        <v>13642698</v>
      </c>
      <c r="K188">
        <v>45.6</v>
      </c>
      <c r="L188">
        <v>2.08</v>
      </c>
      <c r="M188">
        <v>-9.0500000000000007</v>
      </c>
      <c r="N188">
        <v>8.5</v>
      </c>
      <c r="O188">
        <v>92</v>
      </c>
      <c r="P188" t="s">
        <v>53</v>
      </c>
      <c r="Q188" t="s">
        <v>47</v>
      </c>
      <c r="R188" t="s">
        <v>64</v>
      </c>
      <c r="S188">
        <v>2017</v>
      </c>
      <c r="T188" t="s">
        <v>36</v>
      </c>
      <c r="U188">
        <v>46186</v>
      </c>
      <c r="V188">
        <v>15.81</v>
      </c>
      <c r="W188">
        <v>57.99</v>
      </c>
      <c r="X188">
        <v>11.52</v>
      </c>
      <c r="Y188">
        <v>53</v>
      </c>
    </row>
    <row r="189" spans="1:25" x14ac:dyDescent="0.3">
      <c r="A189" t="s">
        <v>195</v>
      </c>
      <c r="B189" t="str">
        <f t="shared" si="2"/>
        <v>Nov</v>
      </c>
      <c r="C189" t="s">
        <v>44</v>
      </c>
      <c r="D189" t="s">
        <v>45</v>
      </c>
      <c r="E189">
        <v>320349049113.85999</v>
      </c>
      <c r="F189">
        <v>44250.02</v>
      </c>
      <c r="G189">
        <v>25392033161.119999</v>
      </c>
      <c r="H189">
        <v>13400216</v>
      </c>
      <c r="I189">
        <v>17878281</v>
      </c>
      <c r="J189">
        <v>18671207</v>
      </c>
      <c r="K189">
        <v>11.52</v>
      </c>
      <c r="L189">
        <v>-0.62</v>
      </c>
      <c r="M189">
        <v>8.7100000000000009</v>
      </c>
      <c r="N189">
        <v>31.87</v>
      </c>
      <c r="O189">
        <v>76</v>
      </c>
      <c r="P189" t="s">
        <v>53</v>
      </c>
      <c r="Q189" t="s">
        <v>34</v>
      </c>
      <c r="R189" t="s">
        <v>74</v>
      </c>
      <c r="S189">
        <v>2020</v>
      </c>
      <c r="T189" t="s">
        <v>36</v>
      </c>
      <c r="U189">
        <v>51214</v>
      </c>
      <c r="V189">
        <v>92.08</v>
      </c>
      <c r="W189">
        <v>42.26</v>
      </c>
      <c r="X189">
        <v>96.43</v>
      </c>
      <c r="Y189">
        <v>89.58</v>
      </c>
    </row>
    <row r="190" spans="1:25" x14ac:dyDescent="0.3">
      <c r="A190" t="s">
        <v>211</v>
      </c>
      <c r="B190" t="str">
        <f t="shared" si="2"/>
        <v>Jan</v>
      </c>
      <c r="C190" t="s">
        <v>78</v>
      </c>
      <c r="D190" t="s">
        <v>79</v>
      </c>
      <c r="E190">
        <v>649459775845.13</v>
      </c>
      <c r="F190">
        <v>17038.400000000001</v>
      </c>
      <c r="G190">
        <v>5178171960.5900002</v>
      </c>
      <c r="H190">
        <v>6923109</v>
      </c>
      <c r="I190">
        <v>7270104</v>
      </c>
      <c r="J190">
        <v>8167645</v>
      </c>
      <c r="K190">
        <v>49.71</v>
      </c>
      <c r="L190">
        <v>2.0699999999999998</v>
      </c>
      <c r="M190">
        <v>-19.2</v>
      </c>
      <c r="N190">
        <v>11.89</v>
      </c>
      <c r="O190">
        <v>28</v>
      </c>
      <c r="P190" t="s">
        <v>51</v>
      </c>
      <c r="Q190" t="s">
        <v>57</v>
      </c>
      <c r="R190" t="s">
        <v>74</v>
      </c>
      <c r="S190">
        <v>2019</v>
      </c>
      <c r="T190" t="s">
        <v>36</v>
      </c>
      <c r="U190">
        <v>25265</v>
      </c>
      <c r="V190">
        <v>63.02</v>
      </c>
      <c r="W190">
        <v>72.42</v>
      </c>
      <c r="X190">
        <v>71</v>
      </c>
      <c r="Y190">
        <v>31.67</v>
      </c>
    </row>
    <row r="191" spans="1:25" x14ac:dyDescent="0.3">
      <c r="A191" t="s">
        <v>157</v>
      </c>
      <c r="B191" t="str">
        <f t="shared" si="2"/>
        <v>Jan</v>
      </c>
      <c r="C191" t="s">
        <v>25</v>
      </c>
      <c r="D191" t="s">
        <v>26</v>
      </c>
      <c r="E191">
        <v>675335329132.27002</v>
      </c>
      <c r="F191">
        <v>27758.79</v>
      </c>
      <c r="G191">
        <v>30372531909.709999</v>
      </c>
      <c r="H191">
        <v>18889917</v>
      </c>
      <c r="I191">
        <v>23693679</v>
      </c>
      <c r="J191">
        <v>23988070</v>
      </c>
      <c r="K191">
        <v>28.34</v>
      </c>
      <c r="L191">
        <v>-3.28</v>
      </c>
      <c r="M191">
        <v>-15.35</v>
      </c>
      <c r="N191">
        <v>-11.28</v>
      </c>
      <c r="O191">
        <v>189</v>
      </c>
      <c r="P191" t="s">
        <v>51</v>
      </c>
      <c r="Q191" t="s">
        <v>41</v>
      </c>
      <c r="R191" t="s">
        <v>74</v>
      </c>
      <c r="S191">
        <v>2021</v>
      </c>
      <c r="T191" t="s">
        <v>30</v>
      </c>
      <c r="U191">
        <v>38437</v>
      </c>
      <c r="V191">
        <v>70.12</v>
      </c>
      <c r="W191">
        <v>24.52</v>
      </c>
      <c r="X191">
        <v>27.34</v>
      </c>
      <c r="Y191">
        <v>88.19</v>
      </c>
    </row>
    <row r="192" spans="1:25" x14ac:dyDescent="0.3">
      <c r="A192" t="s">
        <v>204</v>
      </c>
      <c r="B192" t="str">
        <f t="shared" si="2"/>
        <v>Nov</v>
      </c>
      <c r="C192" t="s">
        <v>55</v>
      </c>
      <c r="D192" t="s">
        <v>56</v>
      </c>
      <c r="E192">
        <v>537948945434.28998</v>
      </c>
      <c r="F192">
        <v>16250.39</v>
      </c>
      <c r="G192">
        <v>1787748994.1700001</v>
      </c>
      <c r="H192">
        <v>13413394</v>
      </c>
      <c r="I192">
        <v>16800423</v>
      </c>
      <c r="J192">
        <v>17266523</v>
      </c>
      <c r="K192">
        <v>21.7</v>
      </c>
      <c r="L192">
        <v>-4.76</v>
      </c>
      <c r="M192">
        <v>-19.059999999999999</v>
      </c>
      <c r="N192">
        <v>20.329999999999998</v>
      </c>
      <c r="O192">
        <v>112</v>
      </c>
      <c r="P192" t="s">
        <v>46</v>
      </c>
      <c r="Q192" t="s">
        <v>57</v>
      </c>
      <c r="R192" t="s">
        <v>74</v>
      </c>
      <c r="S192">
        <v>2012</v>
      </c>
      <c r="T192" t="s">
        <v>58</v>
      </c>
      <c r="U192">
        <v>22214</v>
      </c>
      <c r="V192">
        <v>96.57</v>
      </c>
      <c r="W192">
        <v>46.06</v>
      </c>
      <c r="X192">
        <v>72.73</v>
      </c>
      <c r="Y192">
        <v>28.37</v>
      </c>
    </row>
    <row r="193" spans="1:25" x14ac:dyDescent="0.3">
      <c r="A193" t="s">
        <v>212</v>
      </c>
      <c r="B193" t="str">
        <f t="shared" si="2"/>
        <v>Oct</v>
      </c>
      <c r="C193" t="s">
        <v>68</v>
      </c>
      <c r="D193" t="s">
        <v>69</v>
      </c>
      <c r="E193">
        <v>711700702933.64001</v>
      </c>
      <c r="F193">
        <v>59095.64</v>
      </c>
      <c r="G193">
        <v>19927591196.419998</v>
      </c>
      <c r="H193">
        <v>10184515</v>
      </c>
      <c r="I193">
        <v>11714278</v>
      </c>
      <c r="J193">
        <v>12431012</v>
      </c>
      <c r="K193">
        <v>52.51</v>
      </c>
      <c r="L193">
        <v>2.89</v>
      </c>
      <c r="M193">
        <v>-16.850000000000001</v>
      </c>
      <c r="N193">
        <v>-7.89</v>
      </c>
      <c r="O193">
        <v>9</v>
      </c>
      <c r="P193" t="s">
        <v>53</v>
      </c>
      <c r="Q193" t="s">
        <v>34</v>
      </c>
      <c r="R193" t="s">
        <v>35</v>
      </c>
      <c r="S193">
        <v>2017</v>
      </c>
      <c r="T193" t="s">
        <v>36</v>
      </c>
      <c r="U193">
        <v>58967</v>
      </c>
      <c r="V193">
        <v>76.8</v>
      </c>
      <c r="W193">
        <v>65.709999999999994</v>
      </c>
      <c r="X193">
        <v>54.91</v>
      </c>
      <c r="Y193">
        <v>89.21</v>
      </c>
    </row>
    <row r="194" spans="1:25" x14ac:dyDescent="0.3">
      <c r="A194" t="s">
        <v>213</v>
      </c>
      <c r="B194" t="str">
        <f t="shared" ref="B194:B257" si="3">TEXT(A194,"MMM")</f>
        <v>Dec</v>
      </c>
      <c r="C194" t="s">
        <v>68</v>
      </c>
      <c r="D194" t="s">
        <v>69</v>
      </c>
      <c r="E194">
        <v>165523326449.35999</v>
      </c>
      <c r="F194">
        <v>11628.3</v>
      </c>
      <c r="G194">
        <v>5946890058.5799999</v>
      </c>
      <c r="H194">
        <v>10167407</v>
      </c>
      <c r="I194">
        <v>12276266</v>
      </c>
      <c r="J194">
        <v>12414439</v>
      </c>
      <c r="K194">
        <v>26.21</v>
      </c>
      <c r="L194">
        <v>-4.4000000000000004</v>
      </c>
      <c r="M194">
        <v>10.43</v>
      </c>
      <c r="N194">
        <v>-32.51</v>
      </c>
      <c r="O194">
        <v>121</v>
      </c>
      <c r="P194" t="s">
        <v>27</v>
      </c>
      <c r="Q194" t="s">
        <v>47</v>
      </c>
      <c r="R194" t="s">
        <v>64</v>
      </c>
      <c r="S194">
        <v>2012</v>
      </c>
      <c r="T194" t="s">
        <v>36</v>
      </c>
      <c r="U194">
        <v>27239</v>
      </c>
      <c r="V194">
        <v>16.61</v>
      </c>
      <c r="W194">
        <v>34.590000000000003</v>
      </c>
      <c r="X194">
        <v>61.36</v>
      </c>
      <c r="Y194">
        <v>16.329999999999998</v>
      </c>
    </row>
    <row r="195" spans="1:25" x14ac:dyDescent="0.3">
      <c r="A195" t="s">
        <v>85</v>
      </c>
      <c r="B195" t="str">
        <f t="shared" si="3"/>
        <v>Sep</v>
      </c>
      <c r="C195" t="s">
        <v>68</v>
      </c>
      <c r="D195" t="s">
        <v>69</v>
      </c>
      <c r="E195">
        <v>646018070418.76001</v>
      </c>
      <c r="F195">
        <v>4901.72</v>
      </c>
      <c r="G195">
        <v>44135139456.769997</v>
      </c>
      <c r="H195">
        <v>14863468</v>
      </c>
      <c r="I195">
        <v>17857779</v>
      </c>
      <c r="J195">
        <v>18747216</v>
      </c>
      <c r="K195">
        <v>45.36</v>
      </c>
      <c r="L195">
        <v>-1.1599999999999999</v>
      </c>
      <c r="M195">
        <v>-10.46</v>
      </c>
      <c r="N195">
        <v>-37.4</v>
      </c>
      <c r="O195">
        <v>5</v>
      </c>
      <c r="P195" t="s">
        <v>46</v>
      </c>
      <c r="Q195" t="s">
        <v>28</v>
      </c>
      <c r="R195" t="s">
        <v>29</v>
      </c>
      <c r="S195">
        <v>2010</v>
      </c>
      <c r="T195" t="s">
        <v>36</v>
      </c>
      <c r="U195">
        <v>39653</v>
      </c>
      <c r="V195">
        <v>39.71</v>
      </c>
      <c r="W195">
        <v>45.34</v>
      </c>
      <c r="X195">
        <v>44.57</v>
      </c>
      <c r="Y195">
        <v>23.71</v>
      </c>
    </row>
    <row r="196" spans="1:25" x14ac:dyDescent="0.3">
      <c r="A196" t="s">
        <v>214</v>
      </c>
      <c r="B196" t="str">
        <f t="shared" si="3"/>
        <v>Aug</v>
      </c>
      <c r="C196" t="s">
        <v>25</v>
      </c>
      <c r="D196" t="s">
        <v>26</v>
      </c>
      <c r="E196">
        <v>688775337809.21997</v>
      </c>
      <c r="F196">
        <v>18957.060000000001</v>
      </c>
      <c r="G196">
        <v>48718157781.57</v>
      </c>
      <c r="H196">
        <v>15538536</v>
      </c>
      <c r="I196">
        <v>17512867</v>
      </c>
      <c r="J196">
        <v>17611579</v>
      </c>
      <c r="K196">
        <v>54.68</v>
      </c>
      <c r="L196">
        <v>-2.98</v>
      </c>
      <c r="M196">
        <v>5.26</v>
      </c>
      <c r="N196">
        <v>27.61</v>
      </c>
      <c r="O196">
        <v>112</v>
      </c>
      <c r="P196" t="s">
        <v>46</v>
      </c>
      <c r="Q196" t="s">
        <v>34</v>
      </c>
      <c r="R196" t="s">
        <v>29</v>
      </c>
      <c r="S196">
        <v>2017</v>
      </c>
      <c r="T196" t="s">
        <v>30</v>
      </c>
      <c r="U196">
        <v>57181</v>
      </c>
      <c r="V196">
        <v>61.87</v>
      </c>
      <c r="W196">
        <v>63.45</v>
      </c>
      <c r="X196">
        <v>72.38</v>
      </c>
      <c r="Y196">
        <v>50.92</v>
      </c>
    </row>
    <row r="197" spans="1:25" x14ac:dyDescent="0.3">
      <c r="A197" t="s">
        <v>197</v>
      </c>
      <c r="B197" t="str">
        <f t="shared" si="3"/>
        <v>Apr</v>
      </c>
      <c r="C197" t="s">
        <v>55</v>
      </c>
      <c r="D197" t="s">
        <v>56</v>
      </c>
      <c r="E197">
        <v>503572779978.46997</v>
      </c>
      <c r="F197">
        <v>24263.49</v>
      </c>
      <c r="G197">
        <v>47194616572.860001</v>
      </c>
      <c r="H197">
        <v>18582035</v>
      </c>
      <c r="I197">
        <v>22918116</v>
      </c>
      <c r="J197">
        <v>23786944</v>
      </c>
      <c r="K197">
        <v>26.84</v>
      </c>
      <c r="L197">
        <v>-2.82</v>
      </c>
      <c r="M197">
        <v>0.34</v>
      </c>
      <c r="N197">
        <v>26.39</v>
      </c>
      <c r="O197">
        <v>63</v>
      </c>
      <c r="P197" t="s">
        <v>46</v>
      </c>
      <c r="Q197" t="s">
        <v>47</v>
      </c>
      <c r="R197" t="s">
        <v>42</v>
      </c>
      <c r="S197">
        <v>2019</v>
      </c>
      <c r="T197" t="s">
        <v>58</v>
      </c>
      <c r="U197">
        <v>48303</v>
      </c>
      <c r="V197">
        <v>64.13</v>
      </c>
      <c r="W197">
        <v>66.290000000000006</v>
      </c>
      <c r="X197">
        <v>99.19</v>
      </c>
      <c r="Y197">
        <v>24.47</v>
      </c>
    </row>
    <row r="198" spans="1:25" x14ac:dyDescent="0.3">
      <c r="A198" t="s">
        <v>215</v>
      </c>
      <c r="B198" t="str">
        <f t="shared" si="3"/>
        <v>Apr</v>
      </c>
      <c r="C198" t="s">
        <v>32</v>
      </c>
      <c r="D198" t="s">
        <v>33</v>
      </c>
      <c r="E198">
        <v>720980019138.25</v>
      </c>
      <c r="F198">
        <v>9019.59</v>
      </c>
      <c r="G198">
        <v>30767789530.970001</v>
      </c>
      <c r="H198">
        <v>17110427</v>
      </c>
      <c r="I198">
        <v>18901805</v>
      </c>
      <c r="J198">
        <v>19515530</v>
      </c>
      <c r="K198">
        <v>12.32</v>
      </c>
      <c r="L198">
        <v>4.1399999999999997</v>
      </c>
      <c r="M198">
        <v>-1.31</v>
      </c>
      <c r="N198">
        <v>30.07</v>
      </c>
      <c r="O198">
        <v>145</v>
      </c>
      <c r="P198" t="s">
        <v>51</v>
      </c>
      <c r="Q198" t="s">
        <v>57</v>
      </c>
      <c r="R198" t="s">
        <v>35</v>
      </c>
      <c r="S198">
        <v>2022</v>
      </c>
      <c r="T198" t="s">
        <v>36</v>
      </c>
      <c r="U198">
        <v>58873</v>
      </c>
      <c r="V198">
        <v>28.69</v>
      </c>
      <c r="W198">
        <v>60.56</v>
      </c>
      <c r="X198">
        <v>71.14</v>
      </c>
      <c r="Y198">
        <v>12.49</v>
      </c>
    </row>
    <row r="199" spans="1:25" x14ac:dyDescent="0.3">
      <c r="A199" t="s">
        <v>216</v>
      </c>
      <c r="B199" t="str">
        <f t="shared" si="3"/>
        <v>Sep</v>
      </c>
      <c r="C199" t="s">
        <v>38</v>
      </c>
      <c r="D199" t="s">
        <v>39</v>
      </c>
      <c r="E199">
        <v>827560210597.51001</v>
      </c>
      <c r="F199">
        <v>102.09</v>
      </c>
      <c r="G199">
        <v>2747359716.71</v>
      </c>
      <c r="H199">
        <v>11096790</v>
      </c>
      <c r="I199">
        <v>12846853</v>
      </c>
      <c r="J199">
        <v>13420392</v>
      </c>
      <c r="K199">
        <v>29.05</v>
      </c>
      <c r="L199">
        <v>2.2200000000000002</v>
      </c>
      <c r="M199">
        <v>-16.61</v>
      </c>
      <c r="N199">
        <v>30.18</v>
      </c>
      <c r="O199">
        <v>67</v>
      </c>
      <c r="P199" t="s">
        <v>46</v>
      </c>
      <c r="Q199" t="s">
        <v>47</v>
      </c>
      <c r="R199" t="s">
        <v>74</v>
      </c>
      <c r="S199">
        <v>2011</v>
      </c>
      <c r="T199" t="s">
        <v>36</v>
      </c>
      <c r="U199">
        <v>47360</v>
      </c>
      <c r="V199">
        <v>59.44</v>
      </c>
      <c r="W199">
        <v>46.74</v>
      </c>
      <c r="X199">
        <v>42.63</v>
      </c>
      <c r="Y199">
        <v>99.35</v>
      </c>
    </row>
    <row r="200" spans="1:25" x14ac:dyDescent="0.3">
      <c r="A200" t="s">
        <v>93</v>
      </c>
      <c r="B200" t="str">
        <f t="shared" si="3"/>
        <v>Jan</v>
      </c>
      <c r="C200" t="s">
        <v>49</v>
      </c>
      <c r="D200" t="s">
        <v>50</v>
      </c>
      <c r="E200">
        <v>387881540930.52002</v>
      </c>
      <c r="F200">
        <v>19271.810000000001</v>
      </c>
      <c r="G200">
        <v>39344560239.519997</v>
      </c>
      <c r="H200">
        <v>16108697</v>
      </c>
      <c r="I200">
        <v>17652779</v>
      </c>
      <c r="J200">
        <v>18534693</v>
      </c>
      <c r="K200">
        <v>16.940000000000001</v>
      </c>
      <c r="L200">
        <v>-2.2200000000000002</v>
      </c>
      <c r="M200">
        <v>-15.26</v>
      </c>
      <c r="N200">
        <v>-29.3</v>
      </c>
      <c r="O200">
        <v>135</v>
      </c>
      <c r="P200" t="s">
        <v>46</v>
      </c>
      <c r="Q200" t="s">
        <v>57</v>
      </c>
      <c r="R200" t="s">
        <v>42</v>
      </c>
      <c r="S200">
        <v>2011</v>
      </c>
      <c r="T200" t="s">
        <v>36</v>
      </c>
      <c r="U200">
        <v>62312</v>
      </c>
      <c r="V200">
        <v>49.32</v>
      </c>
      <c r="W200">
        <v>71.38</v>
      </c>
      <c r="X200">
        <v>91.9</v>
      </c>
      <c r="Y200">
        <v>63.71</v>
      </c>
    </row>
    <row r="201" spans="1:25" x14ac:dyDescent="0.3">
      <c r="A201" t="s">
        <v>217</v>
      </c>
      <c r="B201" t="str">
        <f t="shared" si="3"/>
        <v>Aug</v>
      </c>
      <c r="C201" t="s">
        <v>25</v>
      </c>
      <c r="D201" t="s">
        <v>26</v>
      </c>
      <c r="E201">
        <v>651437940146.41003</v>
      </c>
      <c r="F201">
        <v>13327.31</v>
      </c>
      <c r="G201">
        <v>46243219832.349998</v>
      </c>
      <c r="H201">
        <v>8618674</v>
      </c>
      <c r="I201">
        <v>10222252</v>
      </c>
      <c r="J201">
        <v>10955407</v>
      </c>
      <c r="K201">
        <v>56.43</v>
      </c>
      <c r="L201">
        <v>-3.13</v>
      </c>
      <c r="M201">
        <v>17.12</v>
      </c>
      <c r="N201">
        <v>26.25</v>
      </c>
      <c r="O201">
        <v>34</v>
      </c>
      <c r="P201" t="s">
        <v>46</v>
      </c>
      <c r="Q201" t="s">
        <v>47</v>
      </c>
      <c r="R201" t="s">
        <v>29</v>
      </c>
      <c r="S201">
        <v>2010</v>
      </c>
      <c r="T201" t="s">
        <v>30</v>
      </c>
      <c r="U201">
        <v>34461</v>
      </c>
      <c r="V201">
        <v>83.36</v>
      </c>
      <c r="W201">
        <v>33.72</v>
      </c>
      <c r="X201">
        <v>17.170000000000002</v>
      </c>
      <c r="Y201">
        <v>53.11</v>
      </c>
    </row>
    <row r="202" spans="1:25" x14ac:dyDescent="0.3">
      <c r="A202" t="s">
        <v>218</v>
      </c>
      <c r="B202" t="str">
        <f t="shared" si="3"/>
        <v>Feb</v>
      </c>
      <c r="C202" t="s">
        <v>90</v>
      </c>
      <c r="D202" t="s">
        <v>91</v>
      </c>
      <c r="E202">
        <v>543423044818.84998</v>
      </c>
      <c r="F202">
        <v>33293.08</v>
      </c>
      <c r="G202">
        <v>36599528782.330002</v>
      </c>
      <c r="H202">
        <v>5798161</v>
      </c>
      <c r="I202">
        <v>8232046</v>
      </c>
      <c r="J202">
        <v>8918801</v>
      </c>
      <c r="K202">
        <v>57.13</v>
      </c>
      <c r="L202">
        <v>0.7</v>
      </c>
      <c r="M202">
        <v>3.26</v>
      </c>
      <c r="N202">
        <v>-39.299999999999997</v>
      </c>
      <c r="O202">
        <v>22</v>
      </c>
      <c r="P202" t="s">
        <v>46</v>
      </c>
      <c r="Q202" t="s">
        <v>28</v>
      </c>
      <c r="R202" t="s">
        <v>64</v>
      </c>
      <c r="S202">
        <v>2018</v>
      </c>
      <c r="T202" t="s">
        <v>30</v>
      </c>
      <c r="U202">
        <v>16983</v>
      </c>
      <c r="V202">
        <v>91.45</v>
      </c>
      <c r="W202">
        <v>78.67</v>
      </c>
      <c r="X202">
        <v>50.15</v>
      </c>
      <c r="Y202">
        <v>60.94</v>
      </c>
    </row>
    <row r="203" spans="1:25" x14ac:dyDescent="0.3">
      <c r="A203" t="s">
        <v>182</v>
      </c>
      <c r="B203" t="str">
        <f t="shared" si="3"/>
        <v>Jun</v>
      </c>
      <c r="C203" t="s">
        <v>38</v>
      </c>
      <c r="D203" t="s">
        <v>39</v>
      </c>
      <c r="E203">
        <v>271074239633.26001</v>
      </c>
      <c r="F203">
        <v>28756.66</v>
      </c>
      <c r="G203">
        <v>47640528840.82</v>
      </c>
      <c r="H203">
        <v>4362390</v>
      </c>
      <c r="I203">
        <v>5976386</v>
      </c>
      <c r="J203">
        <v>6388522</v>
      </c>
      <c r="K203">
        <v>25.9</v>
      </c>
      <c r="L203">
        <v>4.6500000000000004</v>
      </c>
      <c r="M203">
        <v>-8.02</v>
      </c>
      <c r="N203">
        <v>-1.1100000000000001</v>
      </c>
      <c r="O203">
        <v>192</v>
      </c>
      <c r="P203" t="s">
        <v>40</v>
      </c>
      <c r="Q203" t="s">
        <v>47</v>
      </c>
      <c r="R203" t="s">
        <v>29</v>
      </c>
      <c r="S203">
        <v>2016</v>
      </c>
      <c r="T203" t="s">
        <v>36</v>
      </c>
      <c r="U203">
        <v>55439</v>
      </c>
      <c r="V203">
        <v>30.86</v>
      </c>
      <c r="W203">
        <v>65.55</v>
      </c>
      <c r="X203">
        <v>65.94</v>
      </c>
      <c r="Y203">
        <v>43.46</v>
      </c>
    </row>
    <row r="204" spans="1:25" x14ac:dyDescent="0.3">
      <c r="A204" t="s">
        <v>155</v>
      </c>
      <c r="B204" t="str">
        <f t="shared" si="3"/>
        <v>Dec</v>
      </c>
      <c r="C204" t="s">
        <v>25</v>
      </c>
      <c r="D204" t="s">
        <v>26</v>
      </c>
      <c r="E204">
        <v>586262547013.02002</v>
      </c>
      <c r="F204">
        <v>57154.28</v>
      </c>
      <c r="G204">
        <v>46953175463.970001</v>
      </c>
      <c r="H204">
        <v>3968957</v>
      </c>
      <c r="I204">
        <v>7329047</v>
      </c>
      <c r="J204">
        <v>7417408</v>
      </c>
      <c r="K204">
        <v>22.59</v>
      </c>
      <c r="L204">
        <v>-3.5</v>
      </c>
      <c r="M204">
        <v>6.15</v>
      </c>
      <c r="N204">
        <v>-0.95</v>
      </c>
      <c r="O204">
        <v>158</v>
      </c>
      <c r="P204" t="s">
        <v>51</v>
      </c>
      <c r="Q204" t="s">
        <v>28</v>
      </c>
      <c r="R204" t="s">
        <v>29</v>
      </c>
      <c r="S204">
        <v>2020</v>
      </c>
      <c r="T204" t="s">
        <v>30</v>
      </c>
      <c r="U204">
        <v>6912</v>
      </c>
      <c r="V204">
        <v>11.29</v>
      </c>
      <c r="W204">
        <v>32.18</v>
      </c>
      <c r="X204">
        <v>78.38</v>
      </c>
      <c r="Y204">
        <v>71.260000000000005</v>
      </c>
    </row>
    <row r="205" spans="1:25" x14ac:dyDescent="0.3">
      <c r="A205" t="s">
        <v>219</v>
      </c>
      <c r="B205" t="str">
        <f t="shared" si="3"/>
        <v>Jan</v>
      </c>
      <c r="C205" t="s">
        <v>78</v>
      </c>
      <c r="D205" t="s">
        <v>79</v>
      </c>
      <c r="E205">
        <v>232740464499.94</v>
      </c>
      <c r="F205">
        <v>45940.25</v>
      </c>
      <c r="G205">
        <v>22936030683.439999</v>
      </c>
      <c r="H205">
        <v>11712906</v>
      </c>
      <c r="I205">
        <v>14560687</v>
      </c>
      <c r="J205">
        <v>15417212</v>
      </c>
      <c r="K205">
        <v>25.48</v>
      </c>
      <c r="L205">
        <v>0.32</v>
      </c>
      <c r="M205">
        <v>-2.29</v>
      </c>
      <c r="N205">
        <v>13.53</v>
      </c>
      <c r="O205">
        <v>136</v>
      </c>
      <c r="P205" t="s">
        <v>53</v>
      </c>
      <c r="Q205" t="s">
        <v>34</v>
      </c>
      <c r="R205" t="s">
        <v>35</v>
      </c>
      <c r="S205">
        <v>2013</v>
      </c>
      <c r="T205" t="s">
        <v>36</v>
      </c>
      <c r="U205">
        <v>38007</v>
      </c>
      <c r="V205">
        <v>61.2</v>
      </c>
      <c r="W205">
        <v>84.37</v>
      </c>
      <c r="X205">
        <v>63.82</v>
      </c>
      <c r="Y205">
        <v>42.4</v>
      </c>
    </row>
    <row r="206" spans="1:25" x14ac:dyDescent="0.3">
      <c r="A206" t="s">
        <v>207</v>
      </c>
      <c r="B206" t="str">
        <f t="shared" si="3"/>
        <v>Apr</v>
      </c>
      <c r="C206" t="s">
        <v>68</v>
      </c>
      <c r="D206" t="s">
        <v>69</v>
      </c>
      <c r="E206">
        <v>233438632826.04999</v>
      </c>
      <c r="F206">
        <v>62069.64</v>
      </c>
      <c r="G206">
        <v>11801399239.48</v>
      </c>
      <c r="H206">
        <v>15904263</v>
      </c>
      <c r="I206">
        <v>16330926</v>
      </c>
      <c r="J206">
        <v>16897217</v>
      </c>
      <c r="K206">
        <v>56.51</v>
      </c>
      <c r="L206">
        <v>-4.63</v>
      </c>
      <c r="M206">
        <v>-6.77</v>
      </c>
      <c r="N206">
        <v>-3.24</v>
      </c>
      <c r="O206">
        <v>184</v>
      </c>
      <c r="P206" t="s">
        <v>40</v>
      </c>
      <c r="Q206" t="s">
        <v>57</v>
      </c>
      <c r="R206" t="s">
        <v>74</v>
      </c>
      <c r="S206">
        <v>2014</v>
      </c>
      <c r="T206" t="s">
        <v>36</v>
      </c>
      <c r="U206">
        <v>8969</v>
      </c>
      <c r="V206">
        <v>62.95</v>
      </c>
      <c r="W206">
        <v>87.33</v>
      </c>
      <c r="X206">
        <v>96.05</v>
      </c>
      <c r="Y206">
        <v>23.82</v>
      </c>
    </row>
    <row r="207" spans="1:25" x14ac:dyDescent="0.3">
      <c r="A207" t="s">
        <v>220</v>
      </c>
      <c r="B207" t="str">
        <f t="shared" si="3"/>
        <v>Sep</v>
      </c>
      <c r="C207" t="s">
        <v>90</v>
      </c>
      <c r="D207" t="s">
        <v>91</v>
      </c>
      <c r="E207">
        <v>748953007489.28003</v>
      </c>
      <c r="F207">
        <v>13498.64</v>
      </c>
      <c r="G207">
        <v>20691973251.860001</v>
      </c>
      <c r="H207">
        <v>17240539</v>
      </c>
      <c r="I207">
        <v>20361672</v>
      </c>
      <c r="J207">
        <v>21281716</v>
      </c>
      <c r="K207">
        <v>16.100000000000001</v>
      </c>
      <c r="L207">
        <v>-0.68</v>
      </c>
      <c r="M207">
        <v>-19.91</v>
      </c>
      <c r="N207">
        <v>38.94</v>
      </c>
      <c r="O207">
        <v>56</v>
      </c>
      <c r="P207" t="s">
        <v>51</v>
      </c>
      <c r="Q207" t="s">
        <v>47</v>
      </c>
      <c r="R207" t="s">
        <v>42</v>
      </c>
      <c r="S207">
        <v>2022</v>
      </c>
      <c r="T207" t="s">
        <v>30</v>
      </c>
      <c r="U207">
        <v>40058</v>
      </c>
      <c r="V207">
        <v>63.26</v>
      </c>
      <c r="W207">
        <v>37.42</v>
      </c>
      <c r="X207">
        <v>44.26</v>
      </c>
      <c r="Y207">
        <v>68.239999999999995</v>
      </c>
    </row>
    <row r="208" spans="1:25" x14ac:dyDescent="0.3">
      <c r="A208" t="s">
        <v>221</v>
      </c>
      <c r="B208" t="str">
        <f t="shared" si="3"/>
        <v>Apr</v>
      </c>
      <c r="C208" t="s">
        <v>60</v>
      </c>
      <c r="D208" t="s">
        <v>61</v>
      </c>
      <c r="E208">
        <v>439445784725.97998</v>
      </c>
      <c r="F208">
        <v>32948.839999999997</v>
      </c>
      <c r="G208">
        <v>43041092114.739998</v>
      </c>
      <c r="H208">
        <v>4264675</v>
      </c>
      <c r="I208">
        <v>4896738</v>
      </c>
      <c r="J208">
        <v>5125045</v>
      </c>
      <c r="K208">
        <v>13.58</v>
      </c>
      <c r="L208">
        <v>-3.41</v>
      </c>
      <c r="M208">
        <v>0.17</v>
      </c>
      <c r="N208">
        <v>-20.02</v>
      </c>
      <c r="O208">
        <v>46</v>
      </c>
      <c r="P208" t="s">
        <v>53</v>
      </c>
      <c r="Q208" t="s">
        <v>28</v>
      </c>
      <c r="R208" t="s">
        <v>64</v>
      </c>
      <c r="S208">
        <v>2014</v>
      </c>
      <c r="T208" t="s">
        <v>30</v>
      </c>
      <c r="U208">
        <v>64685</v>
      </c>
      <c r="V208">
        <v>96.38</v>
      </c>
      <c r="W208">
        <v>73.64</v>
      </c>
      <c r="X208">
        <v>83.71</v>
      </c>
      <c r="Y208">
        <v>99.47</v>
      </c>
    </row>
    <row r="209" spans="1:25" x14ac:dyDescent="0.3">
      <c r="A209" t="s">
        <v>143</v>
      </c>
      <c r="B209" t="str">
        <f t="shared" si="3"/>
        <v>Jun</v>
      </c>
      <c r="C209" t="s">
        <v>32</v>
      </c>
      <c r="D209" t="s">
        <v>33</v>
      </c>
      <c r="E209">
        <v>775513370609.68005</v>
      </c>
      <c r="F209">
        <v>56387.88</v>
      </c>
      <c r="G209">
        <v>14738558668.25</v>
      </c>
      <c r="H209">
        <v>7386252</v>
      </c>
      <c r="I209">
        <v>8254190</v>
      </c>
      <c r="J209">
        <v>8757102</v>
      </c>
      <c r="K209">
        <v>18.309999999999999</v>
      </c>
      <c r="L209">
        <v>3.61</v>
      </c>
      <c r="M209">
        <v>-10.64</v>
      </c>
      <c r="N209">
        <v>15.47</v>
      </c>
      <c r="O209">
        <v>51</v>
      </c>
      <c r="P209" t="s">
        <v>46</v>
      </c>
      <c r="Q209" t="s">
        <v>41</v>
      </c>
      <c r="R209" t="s">
        <v>74</v>
      </c>
      <c r="S209">
        <v>2020</v>
      </c>
      <c r="T209" t="s">
        <v>36</v>
      </c>
      <c r="U209">
        <v>25078</v>
      </c>
      <c r="V209">
        <v>53.1</v>
      </c>
      <c r="W209">
        <v>61.62</v>
      </c>
      <c r="X209">
        <v>96.32</v>
      </c>
      <c r="Y209">
        <v>43.49</v>
      </c>
    </row>
    <row r="210" spans="1:25" x14ac:dyDescent="0.3">
      <c r="A210" t="s">
        <v>222</v>
      </c>
      <c r="B210" t="str">
        <f t="shared" si="3"/>
        <v>Jun</v>
      </c>
      <c r="C210" t="s">
        <v>25</v>
      </c>
      <c r="D210" t="s">
        <v>26</v>
      </c>
      <c r="E210">
        <v>352202612326.29999</v>
      </c>
      <c r="F210">
        <v>45324.72</v>
      </c>
      <c r="G210">
        <v>21739403129.189999</v>
      </c>
      <c r="H210">
        <v>3018527</v>
      </c>
      <c r="I210">
        <v>4302310</v>
      </c>
      <c r="J210">
        <v>4959393</v>
      </c>
      <c r="K210">
        <v>43.78</v>
      </c>
      <c r="L210">
        <v>-2.2200000000000002</v>
      </c>
      <c r="M210">
        <v>-5.78</v>
      </c>
      <c r="N210">
        <v>2.11</v>
      </c>
      <c r="O210">
        <v>170</v>
      </c>
      <c r="P210" t="s">
        <v>40</v>
      </c>
      <c r="Q210" t="s">
        <v>47</v>
      </c>
      <c r="R210" t="s">
        <v>74</v>
      </c>
      <c r="S210">
        <v>2019</v>
      </c>
      <c r="T210" t="s">
        <v>30</v>
      </c>
      <c r="U210">
        <v>58296</v>
      </c>
      <c r="V210">
        <v>20.02</v>
      </c>
      <c r="W210">
        <v>94.58</v>
      </c>
      <c r="X210">
        <v>70.27</v>
      </c>
      <c r="Y210">
        <v>15.24</v>
      </c>
    </row>
    <row r="211" spans="1:25" x14ac:dyDescent="0.3">
      <c r="A211" t="s">
        <v>223</v>
      </c>
      <c r="B211" t="str">
        <f t="shared" si="3"/>
        <v>Jul</v>
      </c>
      <c r="C211" t="s">
        <v>68</v>
      </c>
      <c r="D211" t="s">
        <v>69</v>
      </c>
      <c r="E211">
        <v>836144447745.82996</v>
      </c>
      <c r="F211">
        <v>6296.34</v>
      </c>
      <c r="G211">
        <v>32383073664.470001</v>
      </c>
      <c r="H211">
        <v>1350828</v>
      </c>
      <c r="I211">
        <v>2537093</v>
      </c>
      <c r="J211">
        <v>2679520</v>
      </c>
      <c r="K211">
        <v>23.76</v>
      </c>
      <c r="L211">
        <v>1.81</v>
      </c>
      <c r="M211">
        <v>-9.34</v>
      </c>
      <c r="N211">
        <v>1.19</v>
      </c>
      <c r="O211">
        <v>121</v>
      </c>
      <c r="P211" t="s">
        <v>53</v>
      </c>
      <c r="Q211" t="s">
        <v>34</v>
      </c>
      <c r="R211" t="s">
        <v>74</v>
      </c>
      <c r="S211">
        <v>2017</v>
      </c>
      <c r="T211" t="s">
        <v>36</v>
      </c>
      <c r="U211">
        <v>46382</v>
      </c>
      <c r="V211">
        <v>95.79</v>
      </c>
      <c r="W211">
        <v>76.36</v>
      </c>
      <c r="X211">
        <v>46.28</v>
      </c>
      <c r="Y211">
        <v>73.28</v>
      </c>
    </row>
    <row r="212" spans="1:25" x14ac:dyDescent="0.3">
      <c r="A212" t="s">
        <v>104</v>
      </c>
      <c r="B212" t="str">
        <f t="shared" si="3"/>
        <v>Oct</v>
      </c>
      <c r="C212" t="s">
        <v>68</v>
      </c>
      <c r="D212" t="s">
        <v>69</v>
      </c>
      <c r="E212">
        <v>872584000653.83997</v>
      </c>
      <c r="F212">
        <v>69675.350000000006</v>
      </c>
      <c r="G212">
        <v>24817858747.599998</v>
      </c>
      <c r="H212">
        <v>8818072</v>
      </c>
      <c r="I212">
        <v>9426909</v>
      </c>
      <c r="J212">
        <v>9738190</v>
      </c>
      <c r="K212">
        <v>9.51</v>
      </c>
      <c r="L212">
        <v>-0.18</v>
      </c>
      <c r="M212">
        <v>-5.29</v>
      </c>
      <c r="N212">
        <v>-2.5099999999999998</v>
      </c>
      <c r="O212">
        <v>145</v>
      </c>
      <c r="P212" t="s">
        <v>51</v>
      </c>
      <c r="Q212" t="s">
        <v>41</v>
      </c>
      <c r="R212" t="s">
        <v>42</v>
      </c>
      <c r="S212">
        <v>2019</v>
      </c>
      <c r="T212" t="s">
        <v>36</v>
      </c>
      <c r="U212">
        <v>53099</v>
      </c>
      <c r="V212">
        <v>20.87</v>
      </c>
      <c r="W212">
        <v>68.14</v>
      </c>
      <c r="X212">
        <v>14.03</v>
      </c>
      <c r="Y212">
        <v>29</v>
      </c>
    </row>
    <row r="213" spans="1:25" x14ac:dyDescent="0.3">
      <c r="A213" t="s">
        <v>224</v>
      </c>
      <c r="B213" t="str">
        <f t="shared" si="3"/>
        <v>Jun</v>
      </c>
      <c r="C213" t="s">
        <v>25</v>
      </c>
      <c r="D213" t="s">
        <v>26</v>
      </c>
      <c r="E213">
        <v>313591761148.94</v>
      </c>
      <c r="F213">
        <v>50163.41</v>
      </c>
      <c r="G213">
        <v>25444615851.150002</v>
      </c>
      <c r="H213">
        <v>12163363</v>
      </c>
      <c r="I213">
        <v>13557476</v>
      </c>
      <c r="J213">
        <v>13932697</v>
      </c>
      <c r="K213">
        <v>15.03</v>
      </c>
      <c r="L213">
        <v>0.43</v>
      </c>
      <c r="M213">
        <v>12.22</v>
      </c>
      <c r="N213">
        <v>32.53</v>
      </c>
      <c r="O213">
        <v>132</v>
      </c>
      <c r="P213" t="s">
        <v>51</v>
      </c>
      <c r="Q213" t="s">
        <v>57</v>
      </c>
      <c r="R213" t="s">
        <v>35</v>
      </c>
      <c r="S213">
        <v>2017</v>
      </c>
      <c r="T213" t="s">
        <v>30</v>
      </c>
      <c r="U213">
        <v>61073</v>
      </c>
      <c r="V213">
        <v>72.02</v>
      </c>
      <c r="W213">
        <v>41.6</v>
      </c>
      <c r="X213">
        <v>82.28</v>
      </c>
      <c r="Y213">
        <v>28.85</v>
      </c>
    </row>
    <row r="214" spans="1:25" x14ac:dyDescent="0.3">
      <c r="A214" t="s">
        <v>225</v>
      </c>
      <c r="B214" t="str">
        <f t="shared" si="3"/>
        <v>Sep</v>
      </c>
      <c r="C214" t="s">
        <v>49</v>
      </c>
      <c r="D214" t="s">
        <v>50</v>
      </c>
      <c r="E214">
        <v>462316347201.17999</v>
      </c>
      <c r="F214">
        <v>62518.45</v>
      </c>
      <c r="G214">
        <v>16309339509.65</v>
      </c>
      <c r="H214">
        <v>14363660</v>
      </c>
      <c r="I214">
        <v>18020934</v>
      </c>
      <c r="J214">
        <v>18298839</v>
      </c>
      <c r="K214">
        <v>30.76</v>
      </c>
      <c r="L214">
        <v>-4.88</v>
      </c>
      <c r="M214">
        <v>-7.99</v>
      </c>
      <c r="N214">
        <v>19.170000000000002</v>
      </c>
      <c r="O214">
        <v>171</v>
      </c>
      <c r="P214" t="s">
        <v>51</v>
      </c>
      <c r="Q214" t="s">
        <v>28</v>
      </c>
      <c r="R214" t="s">
        <v>64</v>
      </c>
      <c r="S214">
        <v>2014</v>
      </c>
      <c r="T214" t="s">
        <v>36</v>
      </c>
      <c r="U214">
        <v>60936</v>
      </c>
      <c r="V214">
        <v>75.459999999999994</v>
      </c>
      <c r="W214">
        <v>86.19</v>
      </c>
      <c r="X214">
        <v>76.31</v>
      </c>
      <c r="Y214">
        <v>48.95</v>
      </c>
    </row>
    <row r="215" spans="1:25" x14ac:dyDescent="0.3">
      <c r="A215" t="s">
        <v>226</v>
      </c>
      <c r="B215" t="str">
        <f t="shared" si="3"/>
        <v>Jul</v>
      </c>
      <c r="C215" t="s">
        <v>49</v>
      </c>
      <c r="D215" t="s">
        <v>50</v>
      </c>
      <c r="E215">
        <v>597021575392.76001</v>
      </c>
      <c r="F215">
        <v>32599.73</v>
      </c>
      <c r="G215">
        <v>13279557674.33</v>
      </c>
      <c r="H215">
        <v>14481199</v>
      </c>
      <c r="I215">
        <v>14642811</v>
      </c>
      <c r="J215">
        <v>15136491</v>
      </c>
      <c r="K215">
        <v>9.24</v>
      </c>
      <c r="L215">
        <v>1.33</v>
      </c>
      <c r="M215">
        <v>10.98</v>
      </c>
      <c r="N215">
        <v>-7.96</v>
      </c>
      <c r="O215">
        <v>79</v>
      </c>
      <c r="P215" t="s">
        <v>27</v>
      </c>
      <c r="Q215" t="s">
        <v>57</v>
      </c>
      <c r="R215" t="s">
        <v>42</v>
      </c>
      <c r="S215">
        <v>2019</v>
      </c>
      <c r="T215" t="s">
        <v>36</v>
      </c>
      <c r="U215">
        <v>18262</v>
      </c>
      <c r="V215">
        <v>91.22</v>
      </c>
      <c r="W215">
        <v>88</v>
      </c>
      <c r="X215">
        <v>32.78</v>
      </c>
      <c r="Y215">
        <v>49.87</v>
      </c>
    </row>
    <row r="216" spans="1:25" x14ac:dyDescent="0.3">
      <c r="A216" t="s">
        <v>227</v>
      </c>
      <c r="B216" t="str">
        <f t="shared" si="3"/>
        <v>Mar</v>
      </c>
      <c r="C216" t="s">
        <v>38</v>
      </c>
      <c r="D216" t="s">
        <v>39</v>
      </c>
      <c r="E216">
        <v>741436770516.85999</v>
      </c>
      <c r="F216">
        <v>67801.66</v>
      </c>
      <c r="G216">
        <v>45368954118.57</v>
      </c>
      <c r="H216">
        <v>16234419</v>
      </c>
      <c r="I216">
        <v>19707516</v>
      </c>
      <c r="J216">
        <v>19757567</v>
      </c>
      <c r="K216">
        <v>54.12</v>
      </c>
      <c r="L216">
        <v>-0.28999999999999998</v>
      </c>
      <c r="M216">
        <v>16.22</v>
      </c>
      <c r="N216">
        <v>-30.4</v>
      </c>
      <c r="O216">
        <v>22</v>
      </c>
      <c r="P216" t="s">
        <v>53</v>
      </c>
      <c r="Q216" t="s">
        <v>57</v>
      </c>
      <c r="R216" t="s">
        <v>42</v>
      </c>
      <c r="S216">
        <v>2011</v>
      </c>
      <c r="T216" t="s">
        <v>36</v>
      </c>
      <c r="U216">
        <v>7318</v>
      </c>
      <c r="V216">
        <v>45.1</v>
      </c>
      <c r="W216">
        <v>91.29</v>
      </c>
      <c r="X216">
        <v>67.8</v>
      </c>
      <c r="Y216">
        <v>83.93</v>
      </c>
    </row>
    <row r="217" spans="1:25" x14ac:dyDescent="0.3">
      <c r="A217" t="s">
        <v>228</v>
      </c>
      <c r="B217" t="str">
        <f t="shared" si="3"/>
        <v>Jan</v>
      </c>
      <c r="C217" t="s">
        <v>68</v>
      </c>
      <c r="D217" t="s">
        <v>69</v>
      </c>
      <c r="E217">
        <v>464586147709.90002</v>
      </c>
      <c r="F217">
        <v>69258.429999999993</v>
      </c>
      <c r="G217">
        <v>5511721904.3800001</v>
      </c>
      <c r="H217">
        <v>7760787</v>
      </c>
      <c r="I217">
        <v>11562502</v>
      </c>
      <c r="J217">
        <v>12222998</v>
      </c>
      <c r="K217">
        <v>41.23</v>
      </c>
      <c r="L217">
        <v>1.63</v>
      </c>
      <c r="M217">
        <v>11.25</v>
      </c>
      <c r="N217">
        <v>31.31</v>
      </c>
      <c r="O217">
        <v>12</v>
      </c>
      <c r="P217" t="s">
        <v>40</v>
      </c>
      <c r="Q217" t="s">
        <v>34</v>
      </c>
      <c r="R217" t="s">
        <v>42</v>
      </c>
      <c r="S217">
        <v>2014</v>
      </c>
      <c r="T217" t="s">
        <v>36</v>
      </c>
      <c r="U217">
        <v>29042</v>
      </c>
      <c r="V217">
        <v>29.39</v>
      </c>
      <c r="W217">
        <v>78.08</v>
      </c>
      <c r="X217">
        <v>36.01</v>
      </c>
      <c r="Y217">
        <v>86.43</v>
      </c>
    </row>
    <row r="218" spans="1:25" x14ac:dyDescent="0.3">
      <c r="A218" t="s">
        <v>153</v>
      </c>
      <c r="B218" t="str">
        <f t="shared" si="3"/>
        <v>Jan</v>
      </c>
      <c r="C218" t="s">
        <v>55</v>
      </c>
      <c r="D218" t="s">
        <v>56</v>
      </c>
      <c r="E218">
        <v>475998707849.13</v>
      </c>
      <c r="F218">
        <v>13909.5</v>
      </c>
      <c r="G218">
        <v>32080800019.919998</v>
      </c>
      <c r="H218">
        <v>8192164</v>
      </c>
      <c r="I218">
        <v>8550683</v>
      </c>
      <c r="J218">
        <v>9281406</v>
      </c>
      <c r="K218">
        <v>16.420000000000002</v>
      </c>
      <c r="L218">
        <v>-0.12</v>
      </c>
      <c r="M218">
        <v>11.95</v>
      </c>
      <c r="N218">
        <v>12.38</v>
      </c>
      <c r="O218">
        <v>161</v>
      </c>
      <c r="P218" t="s">
        <v>51</v>
      </c>
      <c r="Q218" t="s">
        <v>41</v>
      </c>
      <c r="R218" t="s">
        <v>35</v>
      </c>
      <c r="S218">
        <v>2022</v>
      </c>
      <c r="T218" t="s">
        <v>58</v>
      </c>
      <c r="U218">
        <v>6883</v>
      </c>
      <c r="V218">
        <v>77.53</v>
      </c>
      <c r="W218">
        <v>39.68</v>
      </c>
      <c r="X218">
        <v>20.83</v>
      </c>
      <c r="Y218">
        <v>70.03</v>
      </c>
    </row>
    <row r="219" spans="1:25" x14ac:dyDescent="0.3">
      <c r="A219" t="s">
        <v>146</v>
      </c>
      <c r="B219" t="str">
        <f t="shared" si="3"/>
        <v>Jun</v>
      </c>
      <c r="C219" t="s">
        <v>55</v>
      </c>
      <c r="D219" t="s">
        <v>56</v>
      </c>
      <c r="E219">
        <v>337954895104.62</v>
      </c>
      <c r="F219">
        <v>49324.83</v>
      </c>
      <c r="G219">
        <v>14532663168.27</v>
      </c>
      <c r="H219">
        <v>10826723</v>
      </c>
      <c r="I219">
        <v>14164696</v>
      </c>
      <c r="J219">
        <v>14741739</v>
      </c>
      <c r="K219">
        <v>33.67</v>
      </c>
      <c r="L219">
        <v>-0.3</v>
      </c>
      <c r="M219">
        <v>1.83</v>
      </c>
      <c r="N219">
        <v>19.760000000000002</v>
      </c>
      <c r="O219">
        <v>91</v>
      </c>
      <c r="P219" t="s">
        <v>46</v>
      </c>
      <c r="Q219" t="s">
        <v>28</v>
      </c>
      <c r="R219" t="s">
        <v>64</v>
      </c>
      <c r="S219">
        <v>2021</v>
      </c>
      <c r="T219" t="s">
        <v>58</v>
      </c>
      <c r="U219">
        <v>21396</v>
      </c>
      <c r="V219">
        <v>62.02</v>
      </c>
      <c r="W219">
        <v>49.72</v>
      </c>
      <c r="X219">
        <v>44.2</v>
      </c>
      <c r="Y219">
        <v>65.59</v>
      </c>
    </row>
    <row r="220" spans="1:25" x14ac:dyDescent="0.3">
      <c r="A220" t="s">
        <v>148</v>
      </c>
      <c r="B220" t="str">
        <f t="shared" si="3"/>
        <v>Sep</v>
      </c>
      <c r="C220" t="s">
        <v>55</v>
      </c>
      <c r="D220" t="s">
        <v>56</v>
      </c>
      <c r="E220">
        <v>89362226637.880005</v>
      </c>
      <c r="F220">
        <v>21307.64</v>
      </c>
      <c r="G220">
        <v>49881008583.160004</v>
      </c>
      <c r="H220">
        <v>1652249</v>
      </c>
      <c r="I220">
        <v>4184663</v>
      </c>
      <c r="J220">
        <v>5165686</v>
      </c>
      <c r="K220">
        <v>43.32</v>
      </c>
      <c r="L220">
        <v>-2.61</v>
      </c>
      <c r="M220">
        <v>-9.74</v>
      </c>
      <c r="N220">
        <v>20.23</v>
      </c>
      <c r="O220">
        <v>119</v>
      </c>
      <c r="P220" t="s">
        <v>53</v>
      </c>
      <c r="Q220" t="s">
        <v>41</v>
      </c>
      <c r="R220" t="s">
        <v>35</v>
      </c>
      <c r="S220">
        <v>2011</v>
      </c>
      <c r="T220" t="s">
        <v>58</v>
      </c>
      <c r="U220">
        <v>23016</v>
      </c>
      <c r="V220">
        <v>56.83</v>
      </c>
      <c r="W220">
        <v>49.66</v>
      </c>
      <c r="X220">
        <v>84.83</v>
      </c>
      <c r="Y220">
        <v>56.97</v>
      </c>
    </row>
    <row r="221" spans="1:25" x14ac:dyDescent="0.3">
      <c r="A221" t="s">
        <v>136</v>
      </c>
      <c r="B221" t="str">
        <f t="shared" si="3"/>
        <v>Aug</v>
      </c>
      <c r="C221" t="s">
        <v>90</v>
      </c>
      <c r="D221" t="s">
        <v>91</v>
      </c>
      <c r="E221">
        <v>284468328573.64001</v>
      </c>
      <c r="F221">
        <v>67450.48</v>
      </c>
      <c r="G221">
        <v>19762302379.669998</v>
      </c>
      <c r="H221">
        <v>11392541</v>
      </c>
      <c r="I221">
        <v>14583164</v>
      </c>
      <c r="J221">
        <v>14740346</v>
      </c>
      <c r="K221">
        <v>47.75</v>
      </c>
      <c r="L221">
        <v>-4.17</v>
      </c>
      <c r="M221">
        <v>-2.4300000000000002</v>
      </c>
      <c r="N221">
        <v>24.77</v>
      </c>
      <c r="O221">
        <v>142</v>
      </c>
      <c r="P221" t="s">
        <v>27</v>
      </c>
      <c r="Q221" t="s">
        <v>47</v>
      </c>
      <c r="R221" t="s">
        <v>74</v>
      </c>
      <c r="S221">
        <v>2019</v>
      </c>
      <c r="T221" t="s">
        <v>30</v>
      </c>
      <c r="U221">
        <v>2672</v>
      </c>
      <c r="V221">
        <v>88.31</v>
      </c>
      <c r="W221">
        <v>66.48</v>
      </c>
      <c r="X221">
        <v>48.11</v>
      </c>
      <c r="Y221">
        <v>85.15</v>
      </c>
    </row>
    <row r="222" spans="1:25" x14ac:dyDescent="0.3">
      <c r="A222" t="s">
        <v>92</v>
      </c>
      <c r="B222" t="str">
        <f t="shared" si="3"/>
        <v>Jan</v>
      </c>
      <c r="C222" t="s">
        <v>60</v>
      </c>
      <c r="D222" t="s">
        <v>61</v>
      </c>
      <c r="E222">
        <v>117033980709.95</v>
      </c>
      <c r="F222">
        <v>31254.25</v>
      </c>
      <c r="G222">
        <v>3002693891.9000001</v>
      </c>
      <c r="H222">
        <v>4619699</v>
      </c>
      <c r="I222">
        <v>4868423</v>
      </c>
      <c r="J222">
        <v>5684546</v>
      </c>
      <c r="K222">
        <v>59.44</v>
      </c>
      <c r="L222">
        <v>1.53</v>
      </c>
      <c r="M222">
        <v>1.38</v>
      </c>
      <c r="N222">
        <v>11.93</v>
      </c>
      <c r="O222">
        <v>118</v>
      </c>
      <c r="P222" t="s">
        <v>51</v>
      </c>
      <c r="Q222" t="s">
        <v>57</v>
      </c>
      <c r="R222" t="s">
        <v>29</v>
      </c>
      <c r="S222">
        <v>2010</v>
      </c>
      <c r="T222" t="s">
        <v>30</v>
      </c>
      <c r="U222">
        <v>22723</v>
      </c>
      <c r="V222">
        <v>61.58</v>
      </c>
      <c r="W222">
        <v>64.94</v>
      </c>
      <c r="X222">
        <v>33.19</v>
      </c>
      <c r="Y222">
        <v>23.92</v>
      </c>
    </row>
    <row r="223" spans="1:25" x14ac:dyDescent="0.3">
      <c r="A223" t="s">
        <v>229</v>
      </c>
      <c r="B223" t="str">
        <f t="shared" si="3"/>
        <v>Oct</v>
      </c>
      <c r="C223" t="s">
        <v>49</v>
      </c>
      <c r="D223" t="s">
        <v>50</v>
      </c>
      <c r="E223">
        <v>21725777922.290001</v>
      </c>
      <c r="F223">
        <v>32119.759999999998</v>
      </c>
      <c r="G223">
        <v>37591360331.620003</v>
      </c>
      <c r="H223">
        <v>8788902</v>
      </c>
      <c r="I223">
        <v>13718781</v>
      </c>
      <c r="J223">
        <v>14642720</v>
      </c>
      <c r="K223">
        <v>14.58</v>
      </c>
      <c r="L223">
        <v>0.12</v>
      </c>
      <c r="M223">
        <v>18.7</v>
      </c>
      <c r="N223">
        <v>-37.799999999999997</v>
      </c>
      <c r="O223">
        <v>11</v>
      </c>
      <c r="P223" t="s">
        <v>51</v>
      </c>
      <c r="Q223" t="s">
        <v>57</v>
      </c>
      <c r="R223" t="s">
        <v>35</v>
      </c>
      <c r="S223">
        <v>2013</v>
      </c>
      <c r="T223" t="s">
        <v>36</v>
      </c>
      <c r="U223">
        <v>33874</v>
      </c>
      <c r="V223">
        <v>60.52</v>
      </c>
      <c r="W223">
        <v>96.76</v>
      </c>
      <c r="X223">
        <v>56.54</v>
      </c>
      <c r="Y223">
        <v>40.18</v>
      </c>
    </row>
    <row r="224" spans="1:25" x14ac:dyDescent="0.3">
      <c r="A224" t="s">
        <v>31</v>
      </c>
      <c r="B224" t="str">
        <f t="shared" si="3"/>
        <v>Feb</v>
      </c>
      <c r="C224" t="s">
        <v>55</v>
      </c>
      <c r="D224" t="s">
        <v>56</v>
      </c>
      <c r="E224">
        <v>71873324035.649994</v>
      </c>
      <c r="F224">
        <v>13873.42</v>
      </c>
      <c r="G224">
        <v>16114217007.77</v>
      </c>
      <c r="H224">
        <v>11242010</v>
      </c>
      <c r="I224">
        <v>15127498</v>
      </c>
      <c r="J224">
        <v>15866789</v>
      </c>
      <c r="K224">
        <v>34.5</v>
      </c>
      <c r="L224">
        <v>3.41</v>
      </c>
      <c r="M224">
        <v>15.28</v>
      </c>
      <c r="N224">
        <v>10.63</v>
      </c>
      <c r="O224">
        <v>2</v>
      </c>
      <c r="P224" t="s">
        <v>46</v>
      </c>
      <c r="Q224" t="s">
        <v>28</v>
      </c>
      <c r="R224" t="s">
        <v>64</v>
      </c>
      <c r="S224">
        <v>2018</v>
      </c>
      <c r="T224" t="s">
        <v>58</v>
      </c>
      <c r="U224">
        <v>57261</v>
      </c>
      <c r="V224">
        <v>27.08</v>
      </c>
      <c r="W224">
        <v>70</v>
      </c>
      <c r="X224">
        <v>14.67</v>
      </c>
      <c r="Y224">
        <v>67.56</v>
      </c>
    </row>
    <row r="225" spans="1:25" x14ac:dyDescent="0.3">
      <c r="A225" t="s">
        <v>173</v>
      </c>
      <c r="B225" t="str">
        <f t="shared" si="3"/>
        <v>Nov</v>
      </c>
      <c r="C225" t="s">
        <v>32</v>
      </c>
      <c r="D225" t="s">
        <v>33</v>
      </c>
      <c r="E225">
        <v>696713080420.76001</v>
      </c>
      <c r="F225">
        <v>19967.349999999999</v>
      </c>
      <c r="G225">
        <v>33530516694.07</v>
      </c>
      <c r="H225">
        <v>7158130</v>
      </c>
      <c r="I225">
        <v>11009771</v>
      </c>
      <c r="J225">
        <v>12003409</v>
      </c>
      <c r="K225">
        <v>28.19</v>
      </c>
      <c r="L225">
        <v>2.93</v>
      </c>
      <c r="M225">
        <v>7.94</v>
      </c>
      <c r="N225">
        <v>13.24</v>
      </c>
      <c r="O225">
        <v>95</v>
      </c>
      <c r="P225" t="s">
        <v>53</v>
      </c>
      <c r="Q225" t="s">
        <v>41</v>
      </c>
      <c r="R225" t="s">
        <v>35</v>
      </c>
      <c r="S225">
        <v>2021</v>
      </c>
      <c r="T225" t="s">
        <v>36</v>
      </c>
      <c r="U225">
        <v>60697</v>
      </c>
      <c r="V225">
        <v>85.45</v>
      </c>
      <c r="W225">
        <v>99.98</v>
      </c>
      <c r="X225">
        <v>53.6</v>
      </c>
      <c r="Y225">
        <v>89.17</v>
      </c>
    </row>
    <row r="226" spans="1:25" x14ac:dyDescent="0.3">
      <c r="A226" t="s">
        <v>141</v>
      </c>
      <c r="B226" t="str">
        <f t="shared" si="3"/>
        <v>Aug</v>
      </c>
      <c r="C226" t="s">
        <v>25</v>
      </c>
      <c r="D226" t="s">
        <v>26</v>
      </c>
      <c r="E226">
        <v>79527463890.190002</v>
      </c>
      <c r="F226">
        <v>15623.23</v>
      </c>
      <c r="G226">
        <v>33886130641.5</v>
      </c>
      <c r="H226">
        <v>12270796</v>
      </c>
      <c r="I226">
        <v>15451172</v>
      </c>
      <c r="J226">
        <v>15946969</v>
      </c>
      <c r="K226">
        <v>57.02</v>
      </c>
      <c r="L226">
        <v>2.21</v>
      </c>
      <c r="M226">
        <v>16.59</v>
      </c>
      <c r="N226">
        <v>38.229999999999997</v>
      </c>
      <c r="O226">
        <v>189</v>
      </c>
      <c r="P226" t="s">
        <v>46</v>
      </c>
      <c r="Q226" t="s">
        <v>28</v>
      </c>
      <c r="R226" t="s">
        <v>29</v>
      </c>
      <c r="S226">
        <v>2010</v>
      </c>
      <c r="T226" t="s">
        <v>30</v>
      </c>
      <c r="U226">
        <v>3632</v>
      </c>
      <c r="V226">
        <v>52.9</v>
      </c>
      <c r="W226">
        <v>97.67</v>
      </c>
      <c r="X226">
        <v>47.98</v>
      </c>
      <c r="Y226">
        <v>17.63</v>
      </c>
    </row>
    <row r="227" spans="1:25" x14ac:dyDescent="0.3">
      <c r="A227" t="s">
        <v>230</v>
      </c>
      <c r="B227" t="str">
        <f t="shared" si="3"/>
        <v>Apr</v>
      </c>
      <c r="C227" t="s">
        <v>38</v>
      </c>
      <c r="D227" t="s">
        <v>39</v>
      </c>
      <c r="E227">
        <v>611351967734.85999</v>
      </c>
      <c r="F227">
        <v>21325.86</v>
      </c>
      <c r="G227">
        <v>9086210230.9099998</v>
      </c>
      <c r="H227">
        <v>4166966</v>
      </c>
      <c r="I227">
        <v>7720147</v>
      </c>
      <c r="J227">
        <v>8479110</v>
      </c>
      <c r="K227">
        <v>11.33</v>
      </c>
      <c r="L227">
        <v>0.14000000000000001</v>
      </c>
      <c r="M227">
        <v>-17.02</v>
      </c>
      <c r="N227">
        <v>4.46</v>
      </c>
      <c r="O227">
        <v>177</v>
      </c>
      <c r="P227" t="s">
        <v>53</v>
      </c>
      <c r="Q227" t="s">
        <v>47</v>
      </c>
      <c r="R227" t="s">
        <v>74</v>
      </c>
      <c r="S227">
        <v>2022</v>
      </c>
      <c r="T227" t="s">
        <v>36</v>
      </c>
      <c r="U227">
        <v>46650</v>
      </c>
      <c r="V227">
        <v>40.21</v>
      </c>
      <c r="W227">
        <v>56.87</v>
      </c>
      <c r="X227">
        <v>87.42</v>
      </c>
      <c r="Y227">
        <v>90</v>
      </c>
    </row>
    <row r="228" spans="1:25" x14ac:dyDescent="0.3">
      <c r="A228" t="s">
        <v>231</v>
      </c>
      <c r="B228" t="str">
        <f t="shared" si="3"/>
        <v>May</v>
      </c>
      <c r="C228" t="s">
        <v>60</v>
      </c>
      <c r="D228" t="s">
        <v>61</v>
      </c>
      <c r="E228">
        <v>548391655740.45001</v>
      </c>
      <c r="F228">
        <v>42403.71</v>
      </c>
      <c r="G228">
        <v>4767211967.1099997</v>
      </c>
      <c r="H228">
        <v>6121395</v>
      </c>
      <c r="I228">
        <v>7559177</v>
      </c>
      <c r="J228">
        <v>7878882</v>
      </c>
      <c r="K228">
        <v>40.78</v>
      </c>
      <c r="L228">
        <v>0.6</v>
      </c>
      <c r="M228">
        <v>-7.79</v>
      </c>
      <c r="N228">
        <v>34.46</v>
      </c>
      <c r="O228">
        <v>78</v>
      </c>
      <c r="P228" t="s">
        <v>46</v>
      </c>
      <c r="Q228" t="s">
        <v>47</v>
      </c>
      <c r="R228" t="s">
        <v>64</v>
      </c>
      <c r="S228">
        <v>2010</v>
      </c>
      <c r="T228" t="s">
        <v>30</v>
      </c>
      <c r="U228">
        <v>51337</v>
      </c>
      <c r="V228">
        <v>30.44</v>
      </c>
      <c r="W228">
        <v>98.38</v>
      </c>
      <c r="X228">
        <v>66.48</v>
      </c>
      <c r="Y228">
        <v>19.28</v>
      </c>
    </row>
    <row r="229" spans="1:25" x14ac:dyDescent="0.3">
      <c r="A229" t="s">
        <v>232</v>
      </c>
      <c r="B229" t="str">
        <f t="shared" si="3"/>
        <v>Oct</v>
      </c>
      <c r="C229" t="s">
        <v>44</v>
      </c>
      <c r="D229" t="s">
        <v>45</v>
      </c>
      <c r="E229">
        <v>697280723979.79004</v>
      </c>
      <c r="F229">
        <v>39364.730000000003</v>
      </c>
      <c r="G229">
        <v>33565832386.59</v>
      </c>
      <c r="H229">
        <v>1429231</v>
      </c>
      <c r="I229">
        <v>5592373</v>
      </c>
      <c r="J229">
        <v>5903411</v>
      </c>
      <c r="K229">
        <v>41.24</v>
      </c>
      <c r="L229">
        <v>2.25</v>
      </c>
      <c r="M229">
        <v>8.8699999999999992</v>
      </c>
      <c r="N229">
        <v>-14.69</v>
      </c>
      <c r="O229">
        <v>88</v>
      </c>
      <c r="P229" t="s">
        <v>40</v>
      </c>
      <c r="Q229" t="s">
        <v>28</v>
      </c>
      <c r="R229" t="s">
        <v>29</v>
      </c>
      <c r="S229">
        <v>2022</v>
      </c>
      <c r="T229" t="s">
        <v>36</v>
      </c>
      <c r="U229">
        <v>19206</v>
      </c>
      <c r="V229">
        <v>95.31</v>
      </c>
      <c r="W229">
        <v>87.29</v>
      </c>
      <c r="X229">
        <v>61.81</v>
      </c>
      <c r="Y229">
        <v>30.15</v>
      </c>
    </row>
    <row r="230" spans="1:25" x14ac:dyDescent="0.3">
      <c r="A230" t="s">
        <v>233</v>
      </c>
      <c r="B230" t="str">
        <f t="shared" si="3"/>
        <v>Sep</v>
      </c>
      <c r="C230" t="s">
        <v>78</v>
      </c>
      <c r="D230" t="s">
        <v>79</v>
      </c>
      <c r="E230">
        <v>87312132576.270004</v>
      </c>
      <c r="F230">
        <v>30558</v>
      </c>
      <c r="G230">
        <v>12896296373.700001</v>
      </c>
      <c r="H230">
        <v>12419979</v>
      </c>
      <c r="I230">
        <v>14900049</v>
      </c>
      <c r="J230">
        <v>15129907</v>
      </c>
      <c r="K230">
        <v>29.05</v>
      </c>
      <c r="L230">
        <v>-0.33</v>
      </c>
      <c r="M230">
        <v>-17.55</v>
      </c>
      <c r="N230">
        <v>32.35</v>
      </c>
      <c r="O230">
        <v>163</v>
      </c>
      <c r="P230" t="s">
        <v>40</v>
      </c>
      <c r="Q230" t="s">
        <v>34</v>
      </c>
      <c r="R230" t="s">
        <v>74</v>
      </c>
      <c r="S230">
        <v>2022</v>
      </c>
      <c r="T230" t="s">
        <v>36</v>
      </c>
      <c r="U230">
        <v>55543</v>
      </c>
      <c r="V230">
        <v>67.540000000000006</v>
      </c>
      <c r="W230">
        <v>30.68</v>
      </c>
      <c r="X230">
        <v>49.39</v>
      </c>
      <c r="Y230">
        <v>26.09</v>
      </c>
    </row>
    <row r="231" spans="1:25" x14ac:dyDescent="0.3">
      <c r="A231" t="s">
        <v>234</v>
      </c>
      <c r="B231" t="str">
        <f t="shared" si="3"/>
        <v>Apr</v>
      </c>
      <c r="C231" t="s">
        <v>78</v>
      </c>
      <c r="D231" t="s">
        <v>79</v>
      </c>
      <c r="E231">
        <v>749973530033.02002</v>
      </c>
      <c r="F231">
        <v>69633.960000000006</v>
      </c>
      <c r="G231">
        <v>5190156417.0299997</v>
      </c>
      <c r="H231">
        <v>14648006</v>
      </c>
      <c r="I231">
        <v>19362490</v>
      </c>
      <c r="J231">
        <v>20227066</v>
      </c>
      <c r="K231">
        <v>7.53</v>
      </c>
      <c r="L231">
        <v>3.93</v>
      </c>
      <c r="M231">
        <v>16.07</v>
      </c>
      <c r="N231">
        <v>31.77</v>
      </c>
      <c r="O231">
        <v>77</v>
      </c>
      <c r="P231" t="s">
        <v>46</v>
      </c>
      <c r="Q231" t="s">
        <v>47</v>
      </c>
      <c r="R231" t="s">
        <v>35</v>
      </c>
      <c r="S231">
        <v>2022</v>
      </c>
      <c r="T231" t="s">
        <v>36</v>
      </c>
      <c r="U231">
        <v>33756</v>
      </c>
      <c r="V231">
        <v>34.43</v>
      </c>
      <c r="W231">
        <v>62.97</v>
      </c>
      <c r="X231">
        <v>41.99</v>
      </c>
      <c r="Y231">
        <v>23.56</v>
      </c>
    </row>
    <row r="232" spans="1:25" x14ac:dyDescent="0.3">
      <c r="A232" t="s">
        <v>235</v>
      </c>
      <c r="B232" t="str">
        <f t="shared" si="3"/>
        <v>Nov</v>
      </c>
      <c r="C232" t="s">
        <v>38</v>
      </c>
      <c r="D232" t="s">
        <v>39</v>
      </c>
      <c r="E232">
        <v>689545613299.12</v>
      </c>
      <c r="F232">
        <v>27371.68</v>
      </c>
      <c r="G232">
        <v>23267771018.18</v>
      </c>
      <c r="H232">
        <v>9714200</v>
      </c>
      <c r="I232">
        <v>10439182</v>
      </c>
      <c r="J232">
        <v>10595023</v>
      </c>
      <c r="K232">
        <v>45.48</v>
      </c>
      <c r="L232">
        <v>1.85</v>
      </c>
      <c r="M232">
        <v>9.9499999999999993</v>
      </c>
      <c r="N232">
        <v>29.73</v>
      </c>
      <c r="O232">
        <v>70</v>
      </c>
      <c r="P232" t="s">
        <v>27</v>
      </c>
      <c r="Q232" t="s">
        <v>34</v>
      </c>
      <c r="R232" t="s">
        <v>35</v>
      </c>
      <c r="S232">
        <v>2023</v>
      </c>
      <c r="T232" t="s">
        <v>36</v>
      </c>
      <c r="U232">
        <v>44492</v>
      </c>
      <c r="V232">
        <v>21.81</v>
      </c>
      <c r="W232">
        <v>31.22</v>
      </c>
      <c r="X232">
        <v>95.11</v>
      </c>
      <c r="Y232">
        <v>54.74</v>
      </c>
    </row>
    <row r="233" spans="1:25" x14ac:dyDescent="0.3">
      <c r="A233" t="s">
        <v>236</v>
      </c>
      <c r="B233" t="str">
        <f t="shared" si="3"/>
        <v>Jan</v>
      </c>
      <c r="C233" t="s">
        <v>68</v>
      </c>
      <c r="D233" t="s">
        <v>69</v>
      </c>
      <c r="E233">
        <v>836360599312.43994</v>
      </c>
      <c r="F233">
        <v>34482.51</v>
      </c>
      <c r="G233">
        <v>45202946585.419998</v>
      </c>
      <c r="H233">
        <v>10227479</v>
      </c>
      <c r="I233">
        <v>14065308</v>
      </c>
      <c r="J233">
        <v>14081700</v>
      </c>
      <c r="K233">
        <v>0.91</v>
      </c>
      <c r="L233">
        <v>3.06</v>
      </c>
      <c r="M233">
        <v>-2.39</v>
      </c>
      <c r="N233">
        <v>-31.85</v>
      </c>
      <c r="O233">
        <v>166</v>
      </c>
      <c r="P233" t="s">
        <v>53</v>
      </c>
      <c r="Q233" t="s">
        <v>47</v>
      </c>
      <c r="R233" t="s">
        <v>35</v>
      </c>
      <c r="S233">
        <v>2020</v>
      </c>
      <c r="T233" t="s">
        <v>36</v>
      </c>
      <c r="U233">
        <v>34074</v>
      </c>
      <c r="V233">
        <v>31.47</v>
      </c>
      <c r="W233">
        <v>62.61</v>
      </c>
      <c r="X233">
        <v>37.83</v>
      </c>
      <c r="Y233">
        <v>27.34</v>
      </c>
    </row>
    <row r="234" spans="1:25" x14ac:dyDescent="0.3">
      <c r="A234" t="s">
        <v>164</v>
      </c>
      <c r="B234" t="str">
        <f t="shared" si="3"/>
        <v>Sep</v>
      </c>
      <c r="C234" t="s">
        <v>38</v>
      </c>
      <c r="D234" t="s">
        <v>39</v>
      </c>
      <c r="E234">
        <v>728909640265.23999</v>
      </c>
      <c r="F234">
        <v>46563.69</v>
      </c>
      <c r="G234">
        <v>10911893091.639999</v>
      </c>
      <c r="H234">
        <v>6281653</v>
      </c>
      <c r="I234">
        <v>7007523</v>
      </c>
      <c r="J234">
        <v>7695309</v>
      </c>
      <c r="K234">
        <v>14</v>
      </c>
      <c r="L234">
        <v>3.83</v>
      </c>
      <c r="M234">
        <v>-14.51</v>
      </c>
      <c r="N234">
        <v>13.26</v>
      </c>
      <c r="O234">
        <v>188</v>
      </c>
      <c r="P234" t="s">
        <v>51</v>
      </c>
      <c r="Q234" t="s">
        <v>34</v>
      </c>
      <c r="R234" t="s">
        <v>35</v>
      </c>
      <c r="S234">
        <v>2018</v>
      </c>
      <c r="T234" t="s">
        <v>36</v>
      </c>
      <c r="U234">
        <v>43064</v>
      </c>
      <c r="V234">
        <v>20.02</v>
      </c>
      <c r="W234">
        <v>86.12</v>
      </c>
      <c r="X234">
        <v>92.08</v>
      </c>
      <c r="Y234">
        <v>25.09</v>
      </c>
    </row>
    <row r="235" spans="1:25" x14ac:dyDescent="0.3">
      <c r="A235" t="s">
        <v>124</v>
      </c>
      <c r="B235" t="str">
        <f t="shared" si="3"/>
        <v>Sep</v>
      </c>
      <c r="C235" t="s">
        <v>68</v>
      </c>
      <c r="D235" t="s">
        <v>69</v>
      </c>
      <c r="E235">
        <v>798475698994.95996</v>
      </c>
      <c r="F235">
        <v>20878.11</v>
      </c>
      <c r="G235">
        <v>2771130678.77</v>
      </c>
      <c r="H235">
        <v>4618584</v>
      </c>
      <c r="I235">
        <v>9069659</v>
      </c>
      <c r="J235">
        <v>9188364</v>
      </c>
      <c r="K235">
        <v>58.46</v>
      </c>
      <c r="L235">
        <v>-2.14</v>
      </c>
      <c r="M235">
        <v>9.57</v>
      </c>
      <c r="N235">
        <v>13.4</v>
      </c>
      <c r="O235">
        <v>65</v>
      </c>
      <c r="P235" t="s">
        <v>40</v>
      </c>
      <c r="Q235" t="s">
        <v>34</v>
      </c>
      <c r="R235" t="s">
        <v>64</v>
      </c>
      <c r="S235">
        <v>2011</v>
      </c>
      <c r="T235" t="s">
        <v>36</v>
      </c>
      <c r="U235">
        <v>38240</v>
      </c>
      <c r="V235">
        <v>20.66</v>
      </c>
      <c r="W235">
        <v>32.39</v>
      </c>
      <c r="X235">
        <v>21.06</v>
      </c>
      <c r="Y235">
        <v>26.68</v>
      </c>
    </row>
    <row r="236" spans="1:25" x14ac:dyDescent="0.3">
      <c r="A236" t="s">
        <v>204</v>
      </c>
      <c r="B236" t="str">
        <f t="shared" si="3"/>
        <v>Nov</v>
      </c>
      <c r="C236" t="s">
        <v>49</v>
      </c>
      <c r="D236" t="s">
        <v>50</v>
      </c>
      <c r="E236">
        <v>860252011124.84998</v>
      </c>
      <c r="F236">
        <v>55996.04</v>
      </c>
      <c r="G236">
        <v>29526047104.419998</v>
      </c>
      <c r="H236">
        <v>12418622</v>
      </c>
      <c r="I236">
        <v>16562726</v>
      </c>
      <c r="J236">
        <v>16673119</v>
      </c>
      <c r="K236">
        <v>38.97</v>
      </c>
      <c r="L236">
        <v>-1.1000000000000001</v>
      </c>
      <c r="M236">
        <v>2.5499999999999998</v>
      </c>
      <c r="N236">
        <v>14.78</v>
      </c>
      <c r="O236">
        <v>38</v>
      </c>
      <c r="P236" t="s">
        <v>51</v>
      </c>
      <c r="Q236" t="s">
        <v>34</v>
      </c>
      <c r="R236" t="s">
        <v>74</v>
      </c>
      <c r="S236">
        <v>2015</v>
      </c>
      <c r="T236" t="s">
        <v>36</v>
      </c>
      <c r="U236">
        <v>57707</v>
      </c>
      <c r="V236">
        <v>74.5</v>
      </c>
      <c r="W236">
        <v>35.83</v>
      </c>
      <c r="X236">
        <v>96.13</v>
      </c>
      <c r="Y236">
        <v>13.97</v>
      </c>
    </row>
    <row r="237" spans="1:25" x14ac:dyDescent="0.3">
      <c r="A237" t="s">
        <v>103</v>
      </c>
      <c r="B237" t="str">
        <f t="shared" si="3"/>
        <v>Dec</v>
      </c>
      <c r="C237" t="s">
        <v>49</v>
      </c>
      <c r="D237" t="s">
        <v>50</v>
      </c>
      <c r="E237">
        <v>740288121078.73999</v>
      </c>
      <c r="F237">
        <v>58611.85</v>
      </c>
      <c r="G237">
        <v>20473183842.18</v>
      </c>
      <c r="H237">
        <v>2656930</v>
      </c>
      <c r="I237">
        <v>5832587</v>
      </c>
      <c r="J237">
        <v>5896915</v>
      </c>
      <c r="K237">
        <v>43.88</v>
      </c>
      <c r="L237">
        <v>1.79</v>
      </c>
      <c r="M237">
        <v>17.760000000000002</v>
      </c>
      <c r="N237">
        <v>-34.200000000000003</v>
      </c>
      <c r="O237">
        <v>101</v>
      </c>
      <c r="P237" t="s">
        <v>46</v>
      </c>
      <c r="Q237" t="s">
        <v>47</v>
      </c>
      <c r="R237" t="s">
        <v>64</v>
      </c>
      <c r="S237">
        <v>2021</v>
      </c>
      <c r="T237" t="s">
        <v>36</v>
      </c>
      <c r="U237">
        <v>35147</v>
      </c>
      <c r="V237">
        <v>45.34</v>
      </c>
      <c r="W237">
        <v>52.36</v>
      </c>
      <c r="X237">
        <v>34.590000000000003</v>
      </c>
      <c r="Y237">
        <v>37.56</v>
      </c>
    </row>
    <row r="238" spans="1:25" x14ac:dyDescent="0.3">
      <c r="A238" t="s">
        <v>237</v>
      </c>
      <c r="B238" t="str">
        <f t="shared" si="3"/>
        <v>Aug</v>
      </c>
      <c r="C238" t="s">
        <v>68</v>
      </c>
      <c r="D238" t="s">
        <v>69</v>
      </c>
      <c r="E238">
        <v>617970670265.28003</v>
      </c>
      <c r="F238">
        <v>19818.28</v>
      </c>
      <c r="G238">
        <v>41963577871.669998</v>
      </c>
      <c r="H238">
        <v>14309951</v>
      </c>
      <c r="I238">
        <v>16037092</v>
      </c>
      <c r="J238">
        <v>16336001</v>
      </c>
      <c r="K238">
        <v>32.69</v>
      </c>
      <c r="L238">
        <v>4.5199999999999996</v>
      </c>
      <c r="M238">
        <v>-15.91</v>
      </c>
      <c r="N238">
        <v>-14.68</v>
      </c>
      <c r="O238">
        <v>81</v>
      </c>
      <c r="P238" t="s">
        <v>53</v>
      </c>
      <c r="Q238" t="s">
        <v>47</v>
      </c>
      <c r="R238" t="s">
        <v>64</v>
      </c>
      <c r="S238">
        <v>2014</v>
      </c>
      <c r="T238" t="s">
        <v>36</v>
      </c>
      <c r="U238">
        <v>42249</v>
      </c>
      <c r="V238">
        <v>82.36</v>
      </c>
      <c r="W238">
        <v>61.16</v>
      </c>
      <c r="X238">
        <v>40.549999999999997</v>
      </c>
      <c r="Y238">
        <v>69.17</v>
      </c>
    </row>
    <row r="239" spans="1:25" x14ac:dyDescent="0.3">
      <c r="A239" t="s">
        <v>100</v>
      </c>
      <c r="B239" t="str">
        <f t="shared" si="3"/>
        <v>Jul</v>
      </c>
      <c r="C239" t="s">
        <v>32</v>
      </c>
      <c r="D239" t="s">
        <v>33</v>
      </c>
      <c r="E239">
        <v>752154789459.79004</v>
      </c>
      <c r="F239">
        <v>45270.69</v>
      </c>
      <c r="G239">
        <v>26091581439.330002</v>
      </c>
      <c r="H239">
        <v>8939253</v>
      </c>
      <c r="I239">
        <v>13434229</v>
      </c>
      <c r="J239">
        <v>13876317</v>
      </c>
      <c r="K239">
        <v>49.37</v>
      </c>
      <c r="L239">
        <v>2.0099999999999998</v>
      </c>
      <c r="M239">
        <v>-9.5</v>
      </c>
      <c r="N239">
        <v>5.38</v>
      </c>
      <c r="O239">
        <v>16</v>
      </c>
      <c r="P239" t="s">
        <v>53</v>
      </c>
      <c r="Q239" t="s">
        <v>28</v>
      </c>
      <c r="R239" t="s">
        <v>29</v>
      </c>
      <c r="S239">
        <v>2013</v>
      </c>
      <c r="T239" t="s">
        <v>36</v>
      </c>
      <c r="U239">
        <v>50360</v>
      </c>
      <c r="V239">
        <v>20.420000000000002</v>
      </c>
      <c r="W239">
        <v>42.85</v>
      </c>
      <c r="X239">
        <v>80.14</v>
      </c>
      <c r="Y239">
        <v>52.49</v>
      </c>
    </row>
    <row r="240" spans="1:25" x14ac:dyDescent="0.3">
      <c r="A240" t="s">
        <v>238</v>
      </c>
      <c r="B240" t="str">
        <f t="shared" si="3"/>
        <v>Apr</v>
      </c>
      <c r="C240" t="s">
        <v>32</v>
      </c>
      <c r="D240" t="s">
        <v>33</v>
      </c>
      <c r="E240">
        <v>252881170817.28</v>
      </c>
      <c r="F240">
        <v>12810.1</v>
      </c>
      <c r="G240">
        <v>42696351538.989998</v>
      </c>
      <c r="H240">
        <v>5882062</v>
      </c>
      <c r="I240">
        <v>9389602</v>
      </c>
      <c r="J240">
        <v>10128766</v>
      </c>
      <c r="K240">
        <v>7</v>
      </c>
      <c r="L240">
        <v>0.2</v>
      </c>
      <c r="M240">
        <v>6.37</v>
      </c>
      <c r="N240">
        <v>-34.93</v>
      </c>
      <c r="O240">
        <v>44</v>
      </c>
      <c r="P240" t="s">
        <v>46</v>
      </c>
      <c r="Q240" t="s">
        <v>28</v>
      </c>
      <c r="R240" t="s">
        <v>29</v>
      </c>
      <c r="S240">
        <v>2012</v>
      </c>
      <c r="T240" t="s">
        <v>36</v>
      </c>
      <c r="U240">
        <v>31877</v>
      </c>
      <c r="V240">
        <v>45.65</v>
      </c>
      <c r="W240">
        <v>20.13</v>
      </c>
      <c r="X240">
        <v>70.63</v>
      </c>
      <c r="Y240">
        <v>98.23</v>
      </c>
    </row>
    <row r="241" spans="1:25" x14ac:dyDescent="0.3">
      <c r="A241" t="s">
        <v>228</v>
      </c>
      <c r="B241" t="str">
        <f t="shared" si="3"/>
        <v>Jan</v>
      </c>
      <c r="C241" t="s">
        <v>44</v>
      </c>
      <c r="D241" t="s">
        <v>45</v>
      </c>
      <c r="E241">
        <v>383045925005.27002</v>
      </c>
      <c r="F241">
        <v>21584.86</v>
      </c>
      <c r="G241">
        <v>4399475629.7700005</v>
      </c>
      <c r="H241">
        <v>14085054</v>
      </c>
      <c r="I241">
        <v>14929715</v>
      </c>
      <c r="J241">
        <v>15709557</v>
      </c>
      <c r="K241">
        <v>25.54</v>
      </c>
      <c r="L241">
        <v>0.56000000000000005</v>
      </c>
      <c r="M241">
        <v>16.3</v>
      </c>
      <c r="N241">
        <v>-15.94</v>
      </c>
      <c r="O241">
        <v>132</v>
      </c>
      <c r="P241" t="s">
        <v>51</v>
      </c>
      <c r="Q241" t="s">
        <v>57</v>
      </c>
      <c r="R241" t="s">
        <v>35</v>
      </c>
      <c r="S241">
        <v>2013</v>
      </c>
      <c r="T241" t="s">
        <v>36</v>
      </c>
      <c r="U241">
        <v>34520</v>
      </c>
      <c r="V241">
        <v>57.25</v>
      </c>
      <c r="W241">
        <v>83.73</v>
      </c>
      <c r="X241">
        <v>62.34</v>
      </c>
      <c r="Y241">
        <v>74.27</v>
      </c>
    </row>
    <row r="242" spans="1:25" x14ac:dyDescent="0.3">
      <c r="A242" t="s">
        <v>123</v>
      </c>
      <c r="B242" t="str">
        <f t="shared" si="3"/>
        <v>Jul</v>
      </c>
      <c r="C242" t="s">
        <v>78</v>
      </c>
      <c r="D242" t="s">
        <v>79</v>
      </c>
      <c r="E242">
        <v>70942128844.759995</v>
      </c>
      <c r="F242">
        <v>57703.44</v>
      </c>
      <c r="G242">
        <v>11100416585.860001</v>
      </c>
      <c r="H242">
        <v>11748240</v>
      </c>
      <c r="I242">
        <v>16428721</v>
      </c>
      <c r="J242">
        <v>16508252</v>
      </c>
      <c r="K242">
        <v>43.86</v>
      </c>
      <c r="L242">
        <v>2.9</v>
      </c>
      <c r="M242">
        <v>4.9000000000000004</v>
      </c>
      <c r="N242">
        <v>12.93</v>
      </c>
      <c r="O242">
        <v>16</v>
      </c>
      <c r="P242" t="s">
        <v>53</v>
      </c>
      <c r="Q242" t="s">
        <v>28</v>
      </c>
      <c r="R242" t="s">
        <v>35</v>
      </c>
      <c r="S242">
        <v>2016</v>
      </c>
      <c r="T242" t="s">
        <v>36</v>
      </c>
      <c r="U242">
        <v>58443</v>
      </c>
      <c r="V242">
        <v>33.950000000000003</v>
      </c>
      <c r="W242">
        <v>57.71</v>
      </c>
      <c r="X242">
        <v>81.06</v>
      </c>
      <c r="Y242">
        <v>24.44</v>
      </c>
    </row>
    <row r="243" spans="1:25" x14ac:dyDescent="0.3">
      <c r="A243" t="s">
        <v>239</v>
      </c>
      <c r="B243" t="str">
        <f t="shared" si="3"/>
        <v>Jul</v>
      </c>
      <c r="C243" t="s">
        <v>44</v>
      </c>
      <c r="D243" t="s">
        <v>45</v>
      </c>
      <c r="E243">
        <v>311448614027.65002</v>
      </c>
      <c r="F243">
        <v>8122.44</v>
      </c>
      <c r="G243">
        <v>16035017283.129999</v>
      </c>
      <c r="H243">
        <v>4788128</v>
      </c>
      <c r="I243">
        <v>6948609</v>
      </c>
      <c r="J243">
        <v>7575108</v>
      </c>
      <c r="K243">
        <v>7.16</v>
      </c>
      <c r="L243">
        <v>-1.84</v>
      </c>
      <c r="M243">
        <v>-3.25</v>
      </c>
      <c r="N243">
        <v>1.7</v>
      </c>
      <c r="O243">
        <v>79</v>
      </c>
      <c r="P243" t="s">
        <v>27</v>
      </c>
      <c r="Q243" t="s">
        <v>57</v>
      </c>
      <c r="R243" t="s">
        <v>42</v>
      </c>
      <c r="S243">
        <v>2011</v>
      </c>
      <c r="T243" t="s">
        <v>36</v>
      </c>
      <c r="U243">
        <v>62180</v>
      </c>
      <c r="V243">
        <v>62.26</v>
      </c>
      <c r="W243">
        <v>64.69</v>
      </c>
      <c r="X243">
        <v>43.85</v>
      </c>
      <c r="Y243">
        <v>89.73</v>
      </c>
    </row>
    <row r="244" spans="1:25" x14ac:dyDescent="0.3">
      <c r="A244" t="s">
        <v>130</v>
      </c>
      <c r="B244" t="str">
        <f t="shared" si="3"/>
        <v>May</v>
      </c>
      <c r="C244" t="s">
        <v>25</v>
      </c>
      <c r="D244" t="s">
        <v>26</v>
      </c>
      <c r="E244">
        <v>485599155346.17999</v>
      </c>
      <c r="F244">
        <v>42153.71</v>
      </c>
      <c r="G244">
        <v>33586039192.919998</v>
      </c>
      <c r="H244">
        <v>7325072</v>
      </c>
      <c r="I244">
        <v>12118668</v>
      </c>
      <c r="J244">
        <v>12341330</v>
      </c>
      <c r="K244">
        <v>27.72</v>
      </c>
      <c r="L244">
        <v>-3.22</v>
      </c>
      <c r="M244">
        <v>5.53</v>
      </c>
      <c r="N244">
        <v>-7.08</v>
      </c>
      <c r="O244">
        <v>183</v>
      </c>
      <c r="P244" t="s">
        <v>40</v>
      </c>
      <c r="Q244" t="s">
        <v>41</v>
      </c>
      <c r="R244" t="s">
        <v>74</v>
      </c>
      <c r="S244">
        <v>2018</v>
      </c>
      <c r="T244" t="s">
        <v>30</v>
      </c>
      <c r="U244">
        <v>47794</v>
      </c>
      <c r="V244">
        <v>17.48</v>
      </c>
      <c r="W244">
        <v>60.75</v>
      </c>
      <c r="X244">
        <v>91.4</v>
      </c>
      <c r="Y244">
        <v>90.7</v>
      </c>
    </row>
    <row r="245" spans="1:25" x14ac:dyDescent="0.3">
      <c r="A245" t="s">
        <v>89</v>
      </c>
      <c r="B245" t="str">
        <f t="shared" si="3"/>
        <v>Aug</v>
      </c>
      <c r="C245" t="s">
        <v>38</v>
      </c>
      <c r="D245" t="s">
        <v>39</v>
      </c>
      <c r="E245">
        <v>235898266718.79001</v>
      </c>
      <c r="F245">
        <v>35181.86</v>
      </c>
      <c r="G245">
        <v>5535605993.71</v>
      </c>
      <c r="H245">
        <v>7541159</v>
      </c>
      <c r="I245">
        <v>11355638</v>
      </c>
      <c r="J245">
        <v>11933260</v>
      </c>
      <c r="K245">
        <v>49.53</v>
      </c>
      <c r="L245">
        <v>-1.78</v>
      </c>
      <c r="M245">
        <v>11.46</v>
      </c>
      <c r="N245">
        <v>-5.0199999999999996</v>
      </c>
      <c r="O245">
        <v>100</v>
      </c>
      <c r="P245" t="s">
        <v>40</v>
      </c>
      <c r="Q245" t="s">
        <v>41</v>
      </c>
      <c r="R245" t="s">
        <v>29</v>
      </c>
      <c r="S245">
        <v>2019</v>
      </c>
      <c r="T245" t="s">
        <v>36</v>
      </c>
      <c r="U245">
        <v>51514</v>
      </c>
      <c r="V245">
        <v>67.69</v>
      </c>
      <c r="W245">
        <v>85.23</v>
      </c>
      <c r="X245">
        <v>78.239999999999995</v>
      </c>
      <c r="Y245">
        <v>64.56</v>
      </c>
    </row>
    <row r="246" spans="1:25" x14ac:dyDescent="0.3">
      <c r="A246" t="s">
        <v>240</v>
      </c>
      <c r="B246" t="str">
        <f t="shared" si="3"/>
        <v>Nov</v>
      </c>
      <c r="C246" t="s">
        <v>78</v>
      </c>
      <c r="D246" t="s">
        <v>79</v>
      </c>
      <c r="E246">
        <v>487600633797.85999</v>
      </c>
      <c r="F246">
        <v>58626.3</v>
      </c>
      <c r="G246">
        <v>12211408301.75</v>
      </c>
      <c r="H246">
        <v>16621858</v>
      </c>
      <c r="I246">
        <v>18387150</v>
      </c>
      <c r="J246">
        <v>18606375</v>
      </c>
      <c r="K246">
        <v>0.18</v>
      </c>
      <c r="L246">
        <v>0.73</v>
      </c>
      <c r="M246">
        <v>-2.14</v>
      </c>
      <c r="N246">
        <v>23.85</v>
      </c>
      <c r="O246">
        <v>118</v>
      </c>
      <c r="P246" t="s">
        <v>51</v>
      </c>
      <c r="Q246" t="s">
        <v>28</v>
      </c>
      <c r="R246" t="s">
        <v>74</v>
      </c>
      <c r="S246">
        <v>2017</v>
      </c>
      <c r="T246" t="s">
        <v>36</v>
      </c>
      <c r="U246">
        <v>29091</v>
      </c>
      <c r="V246">
        <v>86.52</v>
      </c>
      <c r="W246">
        <v>73.25</v>
      </c>
      <c r="X246">
        <v>46.14</v>
      </c>
      <c r="Y246">
        <v>15.41</v>
      </c>
    </row>
    <row r="247" spans="1:25" x14ac:dyDescent="0.3">
      <c r="A247" t="s">
        <v>241</v>
      </c>
      <c r="B247" t="str">
        <f t="shared" si="3"/>
        <v>Feb</v>
      </c>
      <c r="C247" t="s">
        <v>78</v>
      </c>
      <c r="D247" t="s">
        <v>79</v>
      </c>
      <c r="E247">
        <v>763514453494.93994</v>
      </c>
      <c r="F247">
        <v>9758.02</v>
      </c>
      <c r="G247">
        <v>18498205520.099998</v>
      </c>
      <c r="H247">
        <v>15490621</v>
      </c>
      <c r="I247">
        <v>17112941</v>
      </c>
      <c r="J247">
        <v>17166040</v>
      </c>
      <c r="K247">
        <v>22.14</v>
      </c>
      <c r="L247">
        <v>-1.45</v>
      </c>
      <c r="M247">
        <v>-15.71</v>
      </c>
      <c r="N247">
        <v>-28.21</v>
      </c>
      <c r="O247">
        <v>195</v>
      </c>
      <c r="P247" t="s">
        <v>46</v>
      </c>
      <c r="Q247" t="s">
        <v>41</v>
      </c>
      <c r="R247" t="s">
        <v>29</v>
      </c>
      <c r="S247">
        <v>2023</v>
      </c>
      <c r="T247" t="s">
        <v>36</v>
      </c>
      <c r="U247">
        <v>5656</v>
      </c>
      <c r="V247">
        <v>46.54</v>
      </c>
      <c r="W247">
        <v>74.150000000000006</v>
      </c>
      <c r="X247">
        <v>74.290000000000006</v>
      </c>
      <c r="Y247">
        <v>14.32</v>
      </c>
    </row>
    <row r="248" spans="1:25" x14ac:dyDescent="0.3">
      <c r="A248" t="s">
        <v>242</v>
      </c>
      <c r="B248" t="str">
        <f t="shared" si="3"/>
        <v>Oct</v>
      </c>
      <c r="C248" t="s">
        <v>90</v>
      </c>
      <c r="D248" t="s">
        <v>91</v>
      </c>
      <c r="E248">
        <v>29067693789.349998</v>
      </c>
      <c r="F248">
        <v>61224.34</v>
      </c>
      <c r="G248">
        <v>40254816773.629997</v>
      </c>
      <c r="H248">
        <v>10515244</v>
      </c>
      <c r="I248">
        <v>15226224</v>
      </c>
      <c r="J248">
        <v>15568107</v>
      </c>
      <c r="K248">
        <v>33.06</v>
      </c>
      <c r="L248">
        <v>-3.25</v>
      </c>
      <c r="M248">
        <v>4.3600000000000003</v>
      </c>
      <c r="N248">
        <v>-7.87</v>
      </c>
      <c r="O248">
        <v>120</v>
      </c>
      <c r="P248" t="s">
        <v>27</v>
      </c>
      <c r="Q248" t="s">
        <v>28</v>
      </c>
      <c r="R248" t="s">
        <v>29</v>
      </c>
      <c r="S248">
        <v>2023</v>
      </c>
      <c r="T248" t="s">
        <v>30</v>
      </c>
      <c r="U248">
        <v>33265</v>
      </c>
      <c r="V248">
        <v>11.3</v>
      </c>
      <c r="W248">
        <v>34.4</v>
      </c>
      <c r="X248">
        <v>58.62</v>
      </c>
      <c r="Y248">
        <v>81.260000000000005</v>
      </c>
    </row>
    <row r="249" spans="1:25" x14ac:dyDescent="0.3">
      <c r="A249" t="s">
        <v>59</v>
      </c>
      <c r="B249" t="str">
        <f t="shared" si="3"/>
        <v>Jan</v>
      </c>
      <c r="C249" t="s">
        <v>90</v>
      </c>
      <c r="D249" t="s">
        <v>91</v>
      </c>
      <c r="E249">
        <v>250732326245.92999</v>
      </c>
      <c r="F249">
        <v>58974</v>
      </c>
      <c r="G249">
        <v>20191235526.169998</v>
      </c>
      <c r="H249">
        <v>4208849</v>
      </c>
      <c r="I249">
        <v>5266649</v>
      </c>
      <c r="J249">
        <v>6173314</v>
      </c>
      <c r="K249">
        <v>23.04</v>
      </c>
      <c r="L249">
        <v>-0.44</v>
      </c>
      <c r="M249">
        <v>-18.52</v>
      </c>
      <c r="N249">
        <v>-25.89</v>
      </c>
      <c r="O249">
        <v>72</v>
      </c>
      <c r="P249" t="s">
        <v>53</v>
      </c>
      <c r="Q249" t="s">
        <v>47</v>
      </c>
      <c r="R249" t="s">
        <v>74</v>
      </c>
      <c r="S249">
        <v>2015</v>
      </c>
      <c r="T249" t="s">
        <v>30</v>
      </c>
      <c r="U249">
        <v>44882</v>
      </c>
      <c r="V249">
        <v>81.819999999999993</v>
      </c>
      <c r="W249">
        <v>76.03</v>
      </c>
      <c r="X249">
        <v>94.52</v>
      </c>
      <c r="Y249">
        <v>29.15</v>
      </c>
    </row>
    <row r="250" spans="1:25" x14ac:dyDescent="0.3">
      <c r="A250" t="s">
        <v>243</v>
      </c>
      <c r="B250" t="str">
        <f t="shared" si="3"/>
        <v>Sep</v>
      </c>
      <c r="C250" t="s">
        <v>55</v>
      </c>
      <c r="D250" t="s">
        <v>56</v>
      </c>
      <c r="E250">
        <v>190888632776.85001</v>
      </c>
      <c r="F250">
        <v>35512.11</v>
      </c>
      <c r="G250">
        <v>46178701284.639999</v>
      </c>
      <c r="H250">
        <v>4455655</v>
      </c>
      <c r="I250">
        <v>5267341</v>
      </c>
      <c r="J250">
        <v>5311095</v>
      </c>
      <c r="K250">
        <v>34.799999999999997</v>
      </c>
      <c r="L250">
        <v>4</v>
      </c>
      <c r="M250">
        <v>-9.43</v>
      </c>
      <c r="N250">
        <v>-29.86</v>
      </c>
      <c r="O250">
        <v>170</v>
      </c>
      <c r="P250" t="s">
        <v>40</v>
      </c>
      <c r="Q250" t="s">
        <v>47</v>
      </c>
      <c r="R250" t="s">
        <v>74</v>
      </c>
      <c r="S250">
        <v>2015</v>
      </c>
      <c r="T250" t="s">
        <v>58</v>
      </c>
      <c r="U250">
        <v>55938</v>
      </c>
      <c r="V250">
        <v>11.72</v>
      </c>
      <c r="W250">
        <v>26.8</v>
      </c>
      <c r="X250">
        <v>15.33</v>
      </c>
      <c r="Y250">
        <v>55.53</v>
      </c>
    </row>
    <row r="251" spans="1:25" x14ac:dyDescent="0.3">
      <c r="A251" t="s">
        <v>244</v>
      </c>
      <c r="B251" t="str">
        <f t="shared" si="3"/>
        <v>Jun</v>
      </c>
      <c r="C251" t="s">
        <v>32</v>
      </c>
      <c r="D251" t="s">
        <v>33</v>
      </c>
      <c r="E251">
        <v>702479099233.20996</v>
      </c>
      <c r="F251">
        <v>67890.320000000007</v>
      </c>
      <c r="G251">
        <v>27235142219.529999</v>
      </c>
      <c r="H251">
        <v>15925886</v>
      </c>
      <c r="I251">
        <v>19959767</v>
      </c>
      <c r="J251">
        <v>20677375</v>
      </c>
      <c r="K251">
        <v>12.22</v>
      </c>
      <c r="L251">
        <v>-4.76</v>
      </c>
      <c r="M251">
        <v>-18.25</v>
      </c>
      <c r="N251">
        <v>-11.88</v>
      </c>
      <c r="O251">
        <v>188</v>
      </c>
      <c r="P251" t="s">
        <v>51</v>
      </c>
      <c r="Q251" t="s">
        <v>41</v>
      </c>
      <c r="R251" t="s">
        <v>64</v>
      </c>
      <c r="S251">
        <v>2022</v>
      </c>
      <c r="T251" t="s">
        <v>36</v>
      </c>
      <c r="U251">
        <v>49551</v>
      </c>
      <c r="V251">
        <v>75.7</v>
      </c>
      <c r="W251">
        <v>44.95</v>
      </c>
      <c r="X251">
        <v>25.06</v>
      </c>
      <c r="Y251">
        <v>41.71</v>
      </c>
    </row>
    <row r="252" spans="1:25" x14ac:dyDescent="0.3">
      <c r="A252" t="s">
        <v>237</v>
      </c>
      <c r="B252" t="str">
        <f t="shared" si="3"/>
        <v>Aug</v>
      </c>
      <c r="C252" t="s">
        <v>25</v>
      </c>
      <c r="D252" t="s">
        <v>26</v>
      </c>
      <c r="E252">
        <v>255073505285.31</v>
      </c>
      <c r="F252">
        <v>54739.98</v>
      </c>
      <c r="G252">
        <v>16753974232.35</v>
      </c>
      <c r="H252">
        <v>3063896</v>
      </c>
      <c r="I252">
        <v>5959737</v>
      </c>
      <c r="J252">
        <v>6902203</v>
      </c>
      <c r="K252">
        <v>19.510000000000002</v>
      </c>
      <c r="L252">
        <v>-3.45</v>
      </c>
      <c r="M252">
        <v>3.93</v>
      </c>
      <c r="N252">
        <v>-31.33</v>
      </c>
      <c r="O252">
        <v>51</v>
      </c>
      <c r="P252" t="s">
        <v>27</v>
      </c>
      <c r="Q252" t="s">
        <v>47</v>
      </c>
      <c r="R252" t="s">
        <v>35</v>
      </c>
      <c r="S252">
        <v>2011</v>
      </c>
      <c r="T252" t="s">
        <v>30</v>
      </c>
      <c r="U252">
        <v>8408</v>
      </c>
      <c r="V252">
        <v>61.1</v>
      </c>
      <c r="W252">
        <v>75.989999999999995</v>
      </c>
      <c r="X252">
        <v>96.48</v>
      </c>
      <c r="Y252">
        <v>17.23</v>
      </c>
    </row>
    <row r="253" spans="1:25" x14ac:dyDescent="0.3">
      <c r="A253" t="s">
        <v>245</v>
      </c>
      <c r="B253" t="str">
        <f t="shared" si="3"/>
        <v>Dec</v>
      </c>
      <c r="C253" t="s">
        <v>38</v>
      </c>
      <c r="D253" t="s">
        <v>39</v>
      </c>
      <c r="E253">
        <v>772240582969.80005</v>
      </c>
      <c r="F253">
        <v>42940.02</v>
      </c>
      <c r="G253">
        <v>1389414631.5599999</v>
      </c>
      <c r="H253">
        <v>11499395</v>
      </c>
      <c r="I253">
        <v>12977829</v>
      </c>
      <c r="J253">
        <v>13759994</v>
      </c>
      <c r="K253">
        <v>34.71</v>
      </c>
      <c r="L253">
        <v>2.95</v>
      </c>
      <c r="M253">
        <v>1.69</v>
      </c>
      <c r="N253">
        <v>-11.41</v>
      </c>
      <c r="O253">
        <v>81</v>
      </c>
      <c r="P253" t="s">
        <v>53</v>
      </c>
      <c r="Q253" t="s">
        <v>34</v>
      </c>
      <c r="R253" t="s">
        <v>64</v>
      </c>
      <c r="S253">
        <v>2022</v>
      </c>
      <c r="T253" t="s">
        <v>36</v>
      </c>
      <c r="U253">
        <v>31182</v>
      </c>
      <c r="V253">
        <v>59.61</v>
      </c>
      <c r="W253">
        <v>23.28</v>
      </c>
      <c r="X253">
        <v>60.16</v>
      </c>
      <c r="Y253">
        <v>40.5</v>
      </c>
    </row>
    <row r="254" spans="1:25" x14ac:dyDescent="0.3">
      <c r="A254" t="s">
        <v>246</v>
      </c>
      <c r="B254" t="str">
        <f t="shared" si="3"/>
        <v>Sep</v>
      </c>
      <c r="C254" t="s">
        <v>68</v>
      </c>
      <c r="D254" t="s">
        <v>69</v>
      </c>
      <c r="E254">
        <v>277549744692.96002</v>
      </c>
      <c r="F254">
        <v>11454.48</v>
      </c>
      <c r="G254">
        <v>13121604367.15</v>
      </c>
      <c r="H254">
        <v>5994172</v>
      </c>
      <c r="I254">
        <v>9102892</v>
      </c>
      <c r="J254">
        <v>9939181</v>
      </c>
      <c r="K254">
        <v>15.8</v>
      </c>
      <c r="L254">
        <v>-3.8</v>
      </c>
      <c r="M254">
        <v>-0.59</v>
      </c>
      <c r="N254">
        <v>-39.74</v>
      </c>
      <c r="O254">
        <v>165</v>
      </c>
      <c r="P254" t="s">
        <v>51</v>
      </c>
      <c r="Q254" t="s">
        <v>28</v>
      </c>
      <c r="R254" t="s">
        <v>74</v>
      </c>
      <c r="S254">
        <v>2017</v>
      </c>
      <c r="T254" t="s">
        <v>36</v>
      </c>
      <c r="U254">
        <v>39292</v>
      </c>
      <c r="V254">
        <v>91.64</v>
      </c>
      <c r="W254">
        <v>66.760000000000005</v>
      </c>
      <c r="X254">
        <v>31.95</v>
      </c>
      <c r="Y254">
        <v>85.04</v>
      </c>
    </row>
    <row r="255" spans="1:25" x14ac:dyDescent="0.3">
      <c r="A255" t="s">
        <v>247</v>
      </c>
      <c r="B255" t="str">
        <f t="shared" si="3"/>
        <v>Oct</v>
      </c>
      <c r="C255" t="s">
        <v>60</v>
      </c>
      <c r="D255" t="s">
        <v>61</v>
      </c>
      <c r="E255">
        <v>577109427753.26001</v>
      </c>
      <c r="F255">
        <v>25673.58</v>
      </c>
      <c r="G255">
        <v>651598631.74000001</v>
      </c>
      <c r="H255">
        <v>14531988</v>
      </c>
      <c r="I255">
        <v>15769089</v>
      </c>
      <c r="J255">
        <v>16034447</v>
      </c>
      <c r="K255">
        <v>1.81</v>
      </c>
      <c r="L255">
        <v>-3.09</v>
      </c>
      <c r="M255">
        <v>7.31</v>
      </c>
      <c r="N255">
        <v>-18.95</v>
      </c>
      <c r="O255">
        <v>183</v>
      </c>
      <c r="P255" t="s">
        <v>40</v>
      </c>
      <c r="Q255" t="s">
        <v>47</v>
      </c>
      <c r="R255" t="s">
        <v>42</v>
      </c>
      <c r="S255">
        <v>2015</v>
      </c>
      <c r="T255" t="s">
        <v>30</v>
      </c>
      <c r="U255">
        <v>30469</v>
      </c>
      <c r="V255">
        <v>37.840000000000003</v>
      </c>
      <c r="W255">
        <v>59.64</v>
      </c>
      <c r="X255">
        <v>44.38</v>
      </c>
      <c r="Y255">
        <v>77.14</v>
      </c>
    </row>
    <row r="256" spans="1:25" x14ac:dyDescent="0.3">
      <c r="A256" t="s">
        <v>138</v>
      </c>
      <c r="B256" t="str">
        <f t="shared" si="3"/>
        <v>Feb</v>
      </c>
      <c r="C256" t="s">
        <v>68</v>
      </c>
      <c r="D256" t="s">
        <v>69</v>
      </c>
      <c r="E256">
        <v>856627807416.65002</v>
      </c>
      <c r="F256">
        <v>63435.06</v>
      </c>
      <c r="G256">
        <v>2209591844.8200002</v>
      </c>
      <c r="H256">
        <v>2314135</v>
      </c>
      <c r="I256">
        <v>6703117</v>
      </c>
      <c r="J256">
        <v>7238203</v>
      </c>
      <c r="K256">
        <v>16.5</v>
      </c>
      <c r="L256">
        <v>-0.69</v>
      </c>
      <c r="M256">
        <v>-3.48</v>
      </c>
      <c r="N256">
        <v>36.729999999999997</v>
      </c>
      <c r="O256">
        <v>166</v>
      </c>
      <c r="P256" t="s">
        <v>51</v>
      </c>
      <c r="Q256" t="s">
        <v>41</v>
      </c>
      <c r="R256" t="s">
        <v>29</v>
      </c>
      <c r="S256">
        <v>2014</v>
      </c>
      <c r="T256" t="s">
        <v>36</v>
      </c>
      <c r="U256">
        <v>19100</v>
      </c>
      <c r="V256">
        <v>85.71</v>
      </c>
      <c r="W256">
        <v>21.28</v>
      </c>
      <c r="X256">
        <v>71.459999999999994</v>
      </c>
      <c r="Y256">
        <v>100</v>
      </c>
    </row>
    <row r="257" spans="1:25" x14ac:dyDescent="0.3">
      <c r="A257" t="s">
        <v>48</v>
      </c>
      <c r="B257" t="str">
        <f t="shared" si="3"/>
        <v>Dec</v>
      </c>
      <c r="C257" t="s">
        <v>78</v>
      </c>
      <c r="D257" t="s">
        <v>79</v>
      </c>
      <c r="E257">
        <v>710386466145.5</v>
      </c>
      <c r="F257">
        <v>23309.439999999999</v>
      </c>
      <c r="G257">
        <v>49753339701.660004</v>
      </c>
      <c r="H257">
        <v>6115150</v>
      </c>
      <c r="I257">
        <v>10701944</v>
      </c>
      <c r="J257">
        <v>11335069</v>
      </c>
      <c r="K257">
        <v>49.16</v>
      </c>
      <c r="L257">
        <v>-0.28000000000000003</v>
      </c>
      <c r="M257">
        <v>-6.5</v>
      </c>
      <c r="N257">
        <v>36.5</v>
      </c>
      <c r="O257">
        <v>56</v>
      </c>
      <c r="P257" t="s">
        <v>53</v>
      </c>
      <c r="Q257" t="s">
        <v>41</v>
      </c>
      <c r="R257" t="s">
        <v>29</v>
      </c>
      <c r="S257">
        <v>2016</v>
      </c>
      <c r="T257" t="s">
        <v>36</v>
      </c>
      <c r="U257">
        <v>39330</v>
      </c>
      <c r="V257">
        <v>17.170000000000002</v>
      </c>
      <c r="W257">
        <v>92.47</v>
      </c>
      <c r="X257">
        <v>66.88</v>
      </c>
      <c r="Y257">
        <v>90.57</v>
      </c>
    </row>
    <row r="258" spans="1:25" x14ac:dyDescent="0.3">
      <c r="A258" t="s">
        <v>229</v>
      </c>
      <c r="B258" t="str">
        <f t="shared" ref="B258:B321" si="4">TEXT(A258,"MMM")</f>
        <v>Oct</v>
      </c>
      <c r="C258" t="s">
        <v>68</v>
      </c>
      <c r="D258" t="s">
        <v>69</v>
      </c>
      <c r="E258">
        <v>319668108192.57001</v>
      </c>
      <c r="F258">
        <v>8530.2999999999993</v>
      </c>
      <c r="G258">
        <v>48581099450.970001</v>
      </c>
      <c r="H258">
        <v>16047692</v>
      </c>
      <c r="I258">
        <v>20835461</v>
      </c>
      <c r="J258">
        <v>21311864</v>
      </c>
      <c r="K258">
        <v>41.25</v>
      </c>
      <c r="L258">
        <v>-4.82</v>
      </c>
      <c r="M258">
        <v>-9.69</v>
      </c>
      <c r="N258">
        <v>-38.07</v>
      </c>
      <c r="O258">
        <v>14</v>
      </c>
      <c r="P258" t="s">
        <v>40</v>
      </c>
      <c r="Q258" t="s">
        <v>41</v>
      </c>
      <c r="R258" t="s">
        <v>74</v>
      </c>
      <c r="S258">
        <v>2018</v>
      </c>
      <c r="T258" t="s">
        <v>36</v>
      </c>
      <c r="U258">
        <v>47875</v>
      </c>
      <c r="V258">
        <v>26.23</v>
      </c>
      <c r="W258">
        <v>93.43</v>
      </c>
      <c r="X258">
        <v>95.36</v>
      </c>
      <c r="Y258">
        <v>69</v>
      </c>
    </row>
    <row r="259" spans="1:25" x14ac:dyDescent="0.3">
      <c r="A259" t="s">
        <v>248</v>
      </c>
      <c r="B259" t="str">
        <f t="shared" si="4"/>
        <v>May</v>
      </c>
      <c r="C259" t="s">
        <v>60</v>
      </c>
      <c r="D259" t="s">
        <v>61</v>
      </c>
      <c r="E259">
        <v>6396102840.7799997</v>
      </c>
      <c r="F259">
        <v>3298.82</v>
      </c>
      <c r="G259">
        <v>31677127148.139999</v>
      </c>
      <c r="H259">
        <v>3861601</v>
      </c>
      <c r="I259">
        <v>4612157</v>
      </c>
      <c r="J259">
        <v>5343116</v>
      </c>
      <c r="K259">
        <v>21.86</v>
      </c>
      <c r="L259">
        <v>-2.82</v>
      </c>
      <c r="M259">
        <v>8.58</v>
      </c>
      <c r="N259">
        <v>-36.89</v>
      </c>
      <c r="O259">
        <v>16</v>
      </c>
      <c r="P259" t="s">
        <v>46</v>
      </c>
      <c r="Q259" t="s">
        <v>57</v>
      </c>
      <c r="R259" t="s">
        <v>64</v>
      </c>
      <c r="S259">
        <v>2013</v>
      </c>
      <c r="T259" t="s">
        <v>30</v>
      </c>
      <c r="U259">
        <v>31426</v>
      </c>
      <c r="V259">
        <v>13.99</v>
      </c>
      <c r="W259">
        <v>88.31</v>
      </c>
      <c r="X259">
        <v>36.06</v>
      </c>
      <c r="Y259">
        <v>51.09</v>
      </c>
    </row>
    <row r="260" spans="1:25" x14ac:dyDescent="0.3">
      <c r="A260" t="s">
        <v>248</v>
      </c>
      <c r="B260" t="str">
        <f t="shared" si="4"/>
        <v>May</v>
      </c>
      <c r="C260" t="s">
        <v>38</v>
      </c>
      <c r="D260" t="s">
        <v>39</v>
      </c>
      <c r="E260">
        <v>135265985807.05</v>
      </c>
      <c r="F260">
        <v>53356.3</v>
      </c>
      <c r="G260">
        <v>12960555769.309999</v>
      </c>
      <c r="H260">
        <v>2396359</v>
      </c>
      <c r="I260">
        <v>4879038</v>
      </c>
      <c r="J260">
        <v>5730791</v>
      </c>
      <c r="K260">
        <v>10.67</v>
      </c>
      <c r="L260">
        <v>-1.28</v>
      </c>
      <c r="M260">
        <v>5.08</v>
      </c>
      <c r="N260">
        <v>-1.86</v>
      </c>
      <c r="O260">
        <v>9</v>
      </c>
      <c r="P260" t="s">
        <v>27</v>
      </c>
      <c r="Q260" t="s">
        <v>47</v>
      </c>
      <c r="R260" t="s">
        <v>42</v>
      </c>
      <c r="S260">
        <v>2012</v>
      </c>
      <c r="T260" t="s">
        <v>36</v>
      </c>
      <c r="U260">
        <v>34614</v>
      </c>
      <c r="V260">
        <v>84.04</v>
      </c>
      <c r="W260">
        <v>88.08</v>
      </c>
      <c r="X260">
        <v>31.49</v>
      </c>
      <c r="Y260">
        <v>94.08</v>
      </c>
    </row>
    <row r="261" spans="1:25" x14ac:dyDescent="0.3">
      <c r="A261" t="s">
        <v>76</v>
      </c>
      <c r="B261" t="str">
        <f t="shared" si="4"/>
        <v>Aug</v>
      </c>
      <c r="C261" t="s">
        <v>49</v>
      </c>
      <c r="D261" t="s">
        <v>50</v>
      </c>
      <c r="E261">
        <v>284393516664.65002</v>
      </c>
      <c r="F261">
        <v>27118.29</v>
      </c>
      <c r="G261">
        <v>19601739908.650002</v>
      </c>
      <c r="H261">
        <v>3298244</v>
      </c>
      <c r="I261">
        <v>8087599</v>
      </c>
      <c r="J261">
        <v>9007171</v>
      </c>
      <c r="K261">
        <v>17.22</v>
      </c>
      <c r="L261">
        <v>-2.82</v>
      </c>
      <c r="M261">
        <v>11.79</v>
      </c>
      <c r="N261">
        <v>-28.35</v>
      </c>
      <c r="O261">
        <v>77</v>
      </c>
      <c r="P261" t="s">
        <v>40</v>
      </c>
      <c r="Q261" t="s">
        <v>28</v>
      </c>
      <c r="R261" t="s">
        <v>74</v>
      </c>
      <c r="S261">
        <v>2016</v>
      </c>
      <c r="T261" t="s">
        <v>36</v>
      </c>
      <c r="U261">
        <v>20252</v>
      </c>
      <c r="V261">
        <v>84.33</v>
      </c>
      <c r="W261">
        <v>56.58</v>
      </c>
      <c r="X261">
        <v>60.93</v>
      </c>
      <c r="Y261">
        <v>31.4</v>
      </c>
    </row>
    <row r="262" spans="1:25" x14ac:dyDescent="0.3">
      <c r="A262" t="s">
        <v>185</v>
      </c>
      <c r="B262" t="str">
        <f t="shared" si="4"/>
        <v>Feb</v>
      </c>
      <c r="C262" t="s">
        <v>25</v>
      </c>
      <c r="D262" t="s">
        <v>26</v>
      </c>
      <c r="E262">
        <v>634699700455.57996</v>
      </c>
      <c r="F262">
        <v>38102</v>
      </c>
      <c r="G262">
        <v>15469224244.15</v>
      </c>
      <c r="H262">
        <v>9901093</v>
      </c>
      <c r="I262">
        <v>11264507</v>
      </c>
      <c r="J262">
        <v>11619770</v>
      </c>
      <c r="K262">
        <v>25.54</v>
      </c>
      <c r="L262">
        <v>-2.09</v>
      </c>
      <c r="M262">
        <v>3.36</v>
      </c>
      <c r="N262">
        <v>-33.35</v>
      </c>
      <c r="O262">
        <v>131</v>
      </c>
      <c r="P262" t="s">
        <v>53</v>
      </c>
      <c r="Q262" t="s">
        <v>57</v>
      </c>
      <c r="R262" t="s">
        <v>64</v>
      </c>
      <c r="S262">
        <v>2010</v>
      </c>
      <c r="T262" t="s">
        <v>30</v>
      </c>
      <c r="U262">
        <v>47404</v>
      </c>
      <c r="V262">
        <v>92.75</v>
      </c>
      <c r="W262">
        <v>52.51</v>
      </c>
      <c r="X262">
        <v>38.44</v>
      </c>
      <c r="Y262">
        <v>38</v>
      </c>
    </row>
    <row r="263" spans="1:25" x14ac:dyDescent="0.3">
      <c r="A263" t="s">
        <v>249</v>
      </c>
      <c r="B263" t="str">
        <f t="shared" si="4"/>
        <v>May</v>
      </c>
      <c r="C263" t="s">
        <v>38</v>
      </c>
      <c r="D263" t="s">
        <v>39</v>
      </c>
      <c r="E263">
        <v>455446326915.09998</v>
      </c>
      <c r="F263">
        <v>63673.29</v>
      </c>
      <c r="G263">
        <v>27105528382.029999</v>
      </c>
      <c r="H263">
        <v>14342383</v>
      </c>
      <c r="I263">
        <v>16676525</v>
      </c>
      <c r="J263">
        <v>17386315</v>
      </c>
      <c r="K263">
        <v>13.18</v>
      </c>
      <c r="L263">
        <v>1.7</v>
      </c>
      <c r="M263">
        <v>12.02</v>
      </c>
      <c r="N263">
        <v>-6.21</v>
      </c>
      <c r="O263">
        <v>189</v>
      </c>
      <c r="P263" t="s">
        <v>53</v>
      </c>
      <c r="Q263" t="s">
        <v>28</v>
      </c>
      <c r="R263" t="s">
        <v>35</v>
      </c>
      <c r="S263">
        <v>2017</v>
      </c>
      <c r="T263" t="s">
        <v>36</v>
      </c>
      <c r="U263">
        <v>30884</v>
      </c>
      <c r="V263">
        <v>77.61</v>
      </c>
      <c r="W263">
        <v>37.65</v>
      </c>
      <c r="X263">
        <v>41.69</v>
      </c>
      <c r="Y263">
        <v>25.19</v>
      </c>
    </row>
    <row r="264" spans="1:25" x14ac:dyDescent="0.3">
      <c r="A264" t="s">
        <v>250</v>
      </c>
      <c r="B264" t="str">
        <f t="shared" si="4"/>
        <v>Jun</v>
      </c>
      <c r="C264" t="s">
        <v>25</v>
      </c>
      <c r="D264" t="s">
        <v>26</v>
      </c>
      <c r="E264">
        <v>69016670376.619995</v>
      </c>
      <c r="F264">
        <v>24385.31</v>
      </c>
      <c r="G264">
        <v>31882366067.740002</v>
      </c>
      <c r="H264">
        <v>17320395</v>
      </c>
      <c r="I264">
        <v>17566219</v>
      </c>
      <c r="J264">
        <v>18274062</v>
      </c>
      <c r="K264">
        <v>27.77</v>
      </c>
      <c r="L264">
        <v>-4.25</v>
      </c>
      <c r="M264">
        <v>4.45</v>
      </c>
      <c r="N264">
        <v>-0.74</v>
      </c>
      <c r="O264">
        <v>69</v>
      </c>
      <c r="P264" t="s">
        <v>40</v>
      </c>
      <c r="Q264" t="s">
        <v>47</v>
      </c>
      <c r="R264" t="s">
        <v>42</v>
      </c>
      <c r="S264">
        <v>2020</v>
      </c>
      <c r="T264" t="s">
        <v>30</v>
      </c>
      <c r="U264">
        <v>63759</v>
      </c>
      <c r="V264">
        <v>75.86</v>
      </c>
      <c r="W264">
        <v>66.069999999999993</v>
      </c>
      <c r="X264">
        <v>15.47</v>
      </c>
      <c r="Y264">
        <v>77.290000000000006</v>
      </c>
    </row>
    <row r="265" spans="1:25" x14ac:dyDescent="0.3">
      <c r="A265" t="s">
        <v>251</v>
      </c>
      <c r="B265" t="str">
        <f t="shared" si="4"/>
        <v>May</v>
      </c>
      <c r="C265" t="s">
        <v>68</v>
      </c>
      <c r="D265" t="s">
        <v>69</v>
      </c>
      <c r="E265">
        <v>57193584768.279999</v>
      </c>
      <c r="F265">
        <v>2175.96</v>
      </c>
      <c r="G265">
        <v>6270360246.3599997</v>
      </c>
      <c r="H265">
        <v>4525361</v>
      </c>
      <c r="I265">
        <v>5840675</v>
      </c>
      <c r="J265">
        <v>5845858</v>
      </c>
      <c r="K265">
        <v>25.74</v>
      </c>
      <c r="L265">
        <v>3.55</v>
      </c>
      <c r="M265">
        <v>1.31</v>
      </c>
      <c r="N265">
        <v>15.5</v>
      </c>
      <c r="O265">
        <v>155</v>
      </c>
      <c r="P265" t="s">
        <v>46</v>
      </c>
      <c r="Q265" t="s">
        <v>57</v>
      </c>
      <c r="R265" t="s">
        <v>29</v>
      </c>
      <c r="S265">
        <v>2015</v>
      </c>
      <c r="T265" t="s">
        <v>36</v>
      </c>
      <c r="U265">
        <v>57955</v>
      </c>
      <c r="V265">
        <v>65.37</v>
      </c>
      <c r="W265">
        <v>80.56</v>
      </c>
      <c r="X265">
        <v>18.899999999999999</v>
      </c>
      <c r="Y265">
        <v>12.54</v>
      </c>
    </row>
    <row r="266" spans="1:25" x14ac:dyDescent="0.3">
      <c r="A266" t="s">
        <v>244</v>
      </c>
      <c r="B266" t="str">
        <f t="shared" si="4"/>
        <v>Jun</v>
      </c>
      <c r="C266" t="s">
        <v>38</v>
      </c>
      <c r="D266" t="s">
        <v>39</v>
      </c>
      <c r="E266">
        <v>749339024301.78003</v>
      </c>
      <c r="F266">
        <v>39898.199999999997</v>
      </c>
      <c r="G266">
        <v>22755377853.150002</v>
      </c>
      <c r="H266">
        <v>5226859</v>
      </c>
      <c r="I266">
        <v>5822937</v>
      </c>
      <c r="J266">
        <v>6602360</v>
      </c>
      <c r="K266">
        <v>40.130000000000003</v>
      </c>
      <c r="L266">
        <v>-2.83</v>
      </c>
      <c r="M266">
        <v>3.01</v>
      </c>
      <c r="N266">
        <v>6.89</v>
      </c>
      <c r="O266">
        <v>156</v>
      </c>
      <c r="P266" t="s">
        <v>51</v>
      </c>
      <c r="Q266" t="s">
        <v>34</v>
      </c>
      <c r="R266" t="s">
        <v>74</v>
      </c>
      <c r="S266">
        <v>2016</v>
      </c>
      <c r="T266" t="s">
        <v>36</v>
      </c>
      <c r="U266">
        <v>54060</v>
      </c>
      <c r="V266">
        <v>24.93</v>
      </c>
      <c r="W266">
        <v>27.26</v>
      </c>
      <c r="X266">
        <v>57.72</v>
      </c>
      <c r="Y266">
        <v>30.67</v>
      </c>
    </row>
    <row r="267" spans="1:25" x14ac:dyDescent="0.3">
      <c r="A267" t="s">
        <v>252</v>
      </c>
      <c r="B267" t="str">
        <f t="shared" si="4"/>
        <v>Apr</v>
      </c>
      <c r="C267" t="s">
        <v>25</v>
      </c>
      <c r="D267" t="s">
        <v>26</v>
      </c>
      <c r="E267">
        <v>551787387910.60999</v>
      </c>
      <c r="F267">
        <v>7464.23</v>
      </c>
      <c r="G267">
        <v>4139991201.02</v>
      </c>
      <c r="H267">
        <v>1984229</v>
      </c>
      <c r="I267">
        <v>4321569</v>
      </c>
      <c r="J267">
        <v>4611571</v>
      </c>
      <c r="K267">
        <v>42.98</v>
      </c>
      <c r="L267">
        <v>3.33</v>
      </c>
      <c r="M267">
        <v>8.0399999999999991</v>
      </c>
      <c r="N267">
        <v>10.11</v>
      </c>
      <c r="O267">
        <v>2</v>
      </c>
      <c r="P267" t="s">
        <v>51</v>
      </c>
      <c r="Q267" t="s">
        <v>34</v>
      </c>
      <c r="R267" t="s">
        <v>74</v>
      </c>
      <c r="S267">
        <v>2016</v>
      </c>
      <c r="T267" t="s">
        <v>30</v>
      </c>
      <c r="U267">
        <v>14100</v>
      </c>
      <c r="V267">
        <v>80.819999999999993</v>
      </c>
      <c r="W267">
        <v>65.44</v>
      </c>
      <c r="X267">
        <v>89.45</v>
      </c>
      <c r="Y267">
        <v>95.17</v>
      </c>
    </row>
    <row r="268" spans="1:25" x14ac:dyDescent="0.3">
      <c r="A268" t="s">
        <v>253</v>
      </c>
      <c r="B268" t="str">
        <f t="shared" si="4"/>
        <v>Jun</v>
      </c>
      <c r="C268" t="s">
        <v>60</v>
      </c>
      <c r="D268" t="s">
        <v>61</v>
      </c>
      <c r="E268">
        <v>221646018431.85999</v>
      </c>
      <c r="F268">
        <v>48417.59</v>
      </c>
      <c r="G268">
        <v>13915293913.77</v>
      </c>
      <c r="H268">
        <v>3596020</v>
      </c>
      <c r="I268">
        <v>7540906</v>
      </c>
      <c r="J268">
        <v>8370040</v>
      </c>
      <c r="K268">
        <v>22.53</v>
      </c>
      <c r="L268">
        <v>-3.02</v>
      </c>
      <c r="M268">
        <v>-5.03</v>
      </c>
      <c r="N268">
        <v>20.48</v>
      </c>
      <c r="O268">
        <v>51</v>
      </c>
      <c r="P268" t="s">
        <v>51</v>
      </c>
      <c r="Q268" t="s">
        <v>34</v>
      </c>
      <c r="R268" t="s">
        <v>64</v>
      </c>
      <c r="S268">
        <v>2015</v>
      </c>
      <c r="T268" t="s">
        <v>30</v>
      </c>
      <c r="U268">
        <v>39729</v>
      </c>
      <c r="V268">
        <v>24.27</v>
      </c>
      <c r="W268">
        <v>93.95</v>
      </c>
      <c r="X268">
        <v>74.87</v>
      </c>
      <c r="Y268">
        <v>49.42</v>
      </c>
    </row>
    <row r="269" spans="1:25" x14ac:dyDescent="0.3">
      <c r="A269" t="s">
        <v>98</v>
      </c>
      <c r="B269" t="str">
        <f t="shared" si="4"/>
        <v>Aug</v>
      </c>
      <c r="C269" t="s">
        <v>25</v>
      </c>
      <c r="D269" t="s">
        <v>26</v>
      </c>
      <c r="E269">
        <v>571925157120.43005</v>
      </c>
      <c r="F269">
        <v>54185.01</v>
      </c>
      <c r="G269">
        <v>29195013998.470001</v>
      </c>
      <c r="H269">
        <v>14889254</v>
      </c>
      <c r="I269">
        <v>16426105</v>
      </c>
      <c r="J269">
        <v>16906536</v>
      </c>
      <c r="K269">
        <v>15.07</v>
      </c>
      <c r="L269">
        <v>3.48</v>
      </c>
      <c r="M269">
        <v>-3.09</v>
      </c>
      <c r="N269">
        <v>-15.26</v>
      </c>
      <c r="O269">
        <v>141</v>
      </c>
      <c r="P269" t="s">
        <v>40</v>
      </c>
      <c r="Q269" t="s">
        <v>34</v>
      </c>
      <c r="R269" t="s">
        <v>42</v>
      </c>
      <c r="S269">
        <v>2015</v>
      </c>
      <c r="T269" t="s">
        <v>30</v>
      </c>
      <c r="U269">
        <v>44406</v>
      </c>
      <c r="V269">
        <v>50.89</v>
      </c>
      <c r="W269">
        <v>22.18</v>
      </c>
      <c r="X269">
        <v>55.3</v>
      </c>
      <c r="Y269">
        <v>25.32</v>
      </c>
    </row>
    <row r="270" spans="1:25" x14ac:dyDescent="0.3">
      <c r="A270" t="s">
        <v>169</v>
      </c>
      <c r="B270" t="str">
        <f t="shared" si="4"/>
        <v>Apr</v>
      </c>
      <c r="C270" t="s">
        <v>55</v>
      </c>
      <c r="D270" t="s">
        <v>56</v>
      </c>
      <c r="E270">
        <v>646489615504.91003</v>
      </c>
      <c r="F270">
        <v>40821.75</v>
      </c>
      <c r="G270">
        <v>31386690813.540001</v>
      </c>
      <c r="H270">
        <v>9153339</v>
      </c>
      <c r="I270">
        <v>9451610</v>
      </c>
      <c r="J270">
        <v>10199596</v>
      </c>
      <c r="K270">
        <v>21.94</v>
      </c>
      <c r="L270">
        <v>-4.01</v>
      </c>
      <c r="M270">
        <v>-3.75</v>
      </c>
      <c r="N270">
        <v>-27.47</v>
      </c>
      <c r="O270">
        <v>20</v>
      </c>
      <c r="P270" t="s">
        <v>51</v>
      </c>
      <c r="Q270" t="s">
        <v>57</v>
      </c>
      <c r="R270" t="s">
        <v>29</v>
      </c>
      <c r="S270">
        <v>2018</v>
      </c>
      <c r="T270" t="s">
        <v>58</v>
      </c>
      <c r="U270">
        <v>25135</v>
      </c>
      <c r="V270">
        <v>47.57</v>
      </c>
      <c r="W270">
        <v>86.24</v>
      </c>
      <c r="X270">
        <v>99.45</v>
      </c>
      <c r="Y270">
        <v>85.46</v>
      </c>
    </row>
    <row r="271" spans="1:25" x14ac:dyDescent="0.3">
      <c r="A271" t="s">
        <v>151</v>
      </c>
      <c r="B271" t="str">
        <f t="shared" si="4"/>
        <v>Nov</v>
      </c>
      <c r="C271" t="s">
        <v>49</v>
      </c>
      <c r="D271" t="s">
        <v>50</v>
      </c>
      <c r="E271">
        <v>567474832986.89001</v>
      </c>
      <c r="F271">
        <v>66944.36</v>
      </c>
      <c r="G271">
        <v>19903318939.66</v>
      </c>
      <c r="H271">
        <v>2677656</v>
      </c>
      <c r="I271">
        <v>6162803</v>
      </c>
      <c r="J271">
        <v>6326834</v>
      </c>
      <c r="K271">
        <v>2.2200000000000002</v>
      </c>
      <c r="L271">
        <v>2.75</v>
      </c>
      <c r="M271">
        <v>8.15</v>
      </c>
      <c r="N271">
        <v>-1.55</v>
      </c>
      <c r="O271">
        <v>147</v>
      </c>
      <c r="P271" t="s">
        <v>46</v>
      </c>
      <c r="Q271" t="s">
        <v>28</v>
      </c>
      <c r="R271" t="s">
        <v>42</v>
      </c>
      <c r="S271">
        <v>2021</v>
      </c>
      <c r="T271" t="s">
        <v>36</v>
      </c>
      <c r="U271">
        <v>20740</v>
      </c>
      <c r="V271">
        <v>79.11</v>
      </c>
      <c r="W271">
        <v>30.51</v>
      </c>
      <c r="X271">
        <v>49.78</v>
      </c>
      <c r="Y271">
        <v>86.98</v>
      </c>
    </row>
    <row r="272" spans="1:25" x14ac:dyDescent="0.3">
      <c r="A272" t="s">
        <v>110</v>
      </c>
      <c r="B272" t="str">
        <f t="shared" si="4"/>
        <v>Aug</v>
      </c>
      <c r="C272" t="s">
        <v>55</v>
      </c>
      <c r="D272" t="s">
        <v>56</v>
      </c>
      <c r="E272">
        <v>595022597046.05005</v>
      </c>
      <c r="F272">
        <v>34877.89</v>
      </c>
      <c r="G272">
        <v>38815698092.440002</v>
      </c>
      <c r="H272">
        <v>6200048</v>
      </c>
      <c r="I272">
        <v>8827138</v>
      </c>
      <c r="J272">
        <v>9163192</v>
      </c>
      <c r="K272">
        <v>4.28</v>
      </c>
      <c r="L272">
        <v>0.34</v>
      </c>
      <c r="M272">
        <v>9.35</v>
      </c>
      <c r="N272">
        <v>-8.6300000000000008</v>
      </c>
      <c r="O272">
        <v>107</v>
      </c>
      <c r="P272" t="s">
        <v>27</v>
      </c>
      <c r="Q272" t="s">
        <v>47</v>
      </c>
      <c r="R272" t="s">
        <v>29</v>
      </c>
      <c r="S272">
        <v>2013</v>
      </c>
      <c r="T272" t="s">
        <v>58</v>
      </c>
      <c r="U272">
        <v>3804</v>
      </c>
      <c r="V272">
        <v>52.71</v>
      </c>
      <c r="W272">
        <v>85.5</v>
      </c>
      <c r="X272">
        <v>91.97</v>
      </c>
      <c r="Y272">
        <v>62.61</v>
      </c>
    </row>
    <row r="273" spans="1:25" x14ac:dyDescent="0.3">
      <c r="A273" t="s">
        <v>254</v>
      </c>
      <c r="B273" t="str">
        <f t="shared" si="4"/>
        <v>Oct</v>
      </c>
      <c r="C273" t="s">
        <v>25</v>
      </c>
      <c r="D273" t="s">
        <v>26</v>
      </c>
      <c r="E273">
        <v>676452544736.90002</v>
      </c>
      <c r="F273">
        <v>49875.46</v>
      </c>
      <c r="G273">
        <v>2865558454.7800002</v>
      </c>
      <c r="H273">
        <v>9833025</v>
      </c>
      <c r="I273">
        <v>10380743</v>
      </c>
      <c r="J273">
        <v>10419711</v>
      </c>
      <c r="K273">
        <v>46.09</v>
      </c>
      <c r="L273">
        <v>4.97</v>
      </c>
      <c r="M273">
        <v>-9.77</v>
      </c>
      <c r="N273">
        <v>35.56</v>
      </c>
      <c r="O273">
        <v>170</v>
      </c>
      <c r="P273" t="s">
        <v>51</v>
      </c>
      <c r="Q273" t="s">
        <v>41</v>
      </c>
      <c r="R273" t="s">
        <v>42</v>
      </c>
      <c r="S273">
        <v>2014</v>
      </c>
      <c r="T273" t="s">
        <v>30</v>
      </c>
      <c r="U273">
        <v>38834</v>
      </c>
      <c r="V273">
        <v>93.13</v>
      </c>
      <c r="W273">
        <v>60.77</v>
      </c>
      <c r="X273">
        <v>99.74</v>
      </c>
      <c r="Y273">
        <v>19.29</v>
      </c>
    </row>
    <row r="274" spans="1:25" x14ac:dyDescent="0.3">
      <c r="A274" t="s">
        <v>48</v>
      </c>
      <c r="B274" t="str">
        <f t="shared" si="4"/>
        <v>Dec</v>
      </c>
      <c r="C274" t="s">
        <v>32</v>
      </c>
      <c r="D274" t="s">
        <v>33</v>
      </c>
      <c r="E274">
        <v>352794226200.90997</v>
      </c>
      <c r="F274">
        <v>53947</v>
      </c>
      <c r="G274">
        <v>4605455024.2200003</v>
      </c>
      <c r="H274">
        <v>7496038</v>
      </c>
      <c r="I274">
        <v>9211363</v>
      </c>
      <c r="J274">
        <v>9734453</v>
      </c>
      <c r="K274">
        <v>30.42</v>
      </c>
      <c r="L274">
        <v>-3.35</v>
      </c>
      <c r="M274">
        <v>-16.27</v>
      </c>
      <c r="N274">
        <v>-1.78</v>
      </c>
      <c r="O274">
        <v>79</v>
      </c>
      <c r="P274" t="s">
        <v>27</v>
      </c>
      <c r="Q274" t="s">
        <v>34</v>
      </c>
      <c r="R274" t="s">
        <v>29</v>
      </c>
      <c r="S274">
        <v>2021</v>
      </c>
      <c r="T274" t="s">
        <v>36</v>
      </c>
      <c r="U274">
        <v>57727</v>
      </c>
      <c r="V274">
        <v>23.34</v>
      </c>
      <c r="W274">
        <v>76.430000000000007</v>
      </c>
      <c r="X274">
        <v>67.27</v>
      </c>
      <c r="Y274">
        <v>99.51</v>
      </c>
    </row>
    <row r="275" spans="1:25" x14ac:dyDescent="0.3">
      <c r="A275" t="s">
        <v>255</v>
      </c>
      <c r="B275" t="str">
        <f t="shared" si="4"/>
        <v>Jun</v>
      </c>
      <c r="C275" t="s">
        <v>38</v>
      </c>
      <c r="D275" t="s">
        <v>39</v>
      </c>
      <c r="E275">
        <v>46979124678.209999</v>
      </c>
      <c r="F275">
        <v>67530.600000000006</v>
      </c>
      <c r="G275">
        <v>42331467158.269997</v>
      </c>
      <c r="H275">
        <v>3368234</v>
      </c>
      <c r="I275">
        <v>5486851</v>
      </c>
      <c r="J275">
        <v>6146075</v>
      </c>
      <c r="K275">
        <v>50.71</v>
      </c>
      <c r="L275">
        <v>3.66</v>
      </c>
      <c r="M275">
        <v>9.93</v>
      </c>
      <c r="N275">
        <v>33.909999999999997</v>
      </c>
      <c r="O275">
        <v>99</v>
      </c>
      <c r="P275" t="s">
        <v>40</v>
      </c>
      <c r="Q275" t="s">
        <v>28</v>
      </c>
      <c r="R275" t="s">
        <v>35</v>
      </c>
      <c r="S275">
        <v>2012</v>
      </c>
      <c r="T275" t="s">
        <v>36</v>
      </c>
      <c r="U275">
        <v>39920</v>
      </c>
      <c r="V275">
        <v>99.35</v>
      </c>
      <c r="W275">
        <v>36.78</v>
      </c>
      <c r="X275">
        <v>37.020000000000003</v>
      </c>
      <c r="Y275">
        <v>21.79</v>
      </c>
    </row>
    <row r="276" spans="1:25" x14ac:dyDescent="0.3">
      <c r="A276" t="s">
        <v>256</v>
      </c>
      <c r="B276" t="str">
        <f t="shared" si="4"/>
        <v>Jun</v>
      </c>
      <c r="C276" t="s">
        <v>44</v>
      </c>
      <c r="D276" t="s">
        <v>45</v>
      </c>
      <c r="E276">
        <v>713276464530.91003</v>
      </c>
      <c r="F276">
        <v>26891.05</v>
      </c>
      <c r="G276">
        <v>26276731685.25</v>
      </c>
      <c r="H276">
        <v>13965451</v>
      </c>
      <c r="I276">
        <v>14704990</v>
      </c>
      <c r="J276">
        <v>15444118</v>
      </c>
      <c r="K276">
        <v>6.6</v>
      </c>
      <c r="L276">
        <v>-3.95</v>
      </c>
      <c r="M276">
        <v>6</v>
      </c>
      <c r="N276">
        <v>18.600000000000001</v>
      </c>
      <c r="O276">
        <v>25</v>
      </c>
      <c r="P276" t="s">
        <v>27</v>
      </c>
      <c r="Q276" t="s">
        <v>28</v>
      </c>
      <c r="R276" t="s">
        <v>29</v>
      </c>
      <c r="S276">
        <v>2013</v>
      </c>
      <c r="T276" t="s">
        <v>36</v>
      </c>
      <c r="U276">
        <v>52384</v>
      </c>
      <c r="V276">
        <v>54.55</v>
      </c>
      <c r="W276">
        <v>50.24</v>
      </c>
      <c r="X276">
        <v>61.97</v>
      </c>
      <c r="Y276">
        <v>44.07</v>
      </c>
    </row>
    <row r="277" spans="1:25" x14ac:dyDescent="0.3">
      <c r="A277" t="s">
        <v>175</v>
      </c>
      <c r="B277" t="str">
        <f t="shared" si="4"/>
        <v>Dec</v>
      </c>
      <c r="C277" t="s">
        <v>32</v>
      </c>
      <c r="D277" t="s">
        <v>33</v>
      </c>
      <c r="E277">
        <v>539711735427.47998</v>
      </c>
      <c r="F277">
        <v>53370.29</v>
      </c>
      <c r="G277">
        <v>38766657902.910004</v>
      </c>
      <c r="H277">
        <v>1942078</v>
      </c>
      <c r="I277">
        <v>5993172</v>
      </c>
      <c r="J277">
        <v>6148483</v>
      </c>
      <c r="K277">
        <v>26.38</v>
      </c>
      <c r="L277">
        <v>-1.36</v>
      </c>
      <c r="M277">
        <v>2.23</v>
      </c>
      <c r="N277">
        <v>-27.89</v>
      </c>
      <c r="O277">
        <v>142</v>
      </c>
      <c r="P277" t="s">
        <v>46</v>
      </c>
      <c r="Q277" t="s">
        <v>34</v>
      </c>
      <c r="R277" t="s">
        <v>74</v>
      </c>
      <c r="S277">
        <v>2010</v>
      </c>
      <c r="T277" t="s">
        <v>36</v>
      </c>
      <c r="U277">
        <v>58766</v>
      </c>
      <c r="V277">
        <v>75.599999999999994</v>
      </c>
      <c r="W277">
        <v>51.36</v>
      </c>
      <c r="X277">
        <v>59.46</v>
      </c>
      <c r="Y277">
        <v>66.540000000000006</v>
      </c>
    </row>
    <row r="278" spans="1:25" x14ac:dyDescent="0.3">
      <c r="A278" t="s">
        <v>257</v>
      </c>
      <c r="B278" t="str">
        <f t="shared" si="4"/>
        <v>Mar</v>
      </c>
      <c r="C278" t="s">
        <v>49</v>
      </c>
      <c r="D278" t="s">
        <v>50</v>
      </c>
      <c r="E278">
        <v>316234273679.28003</v>
      </c>
      <c r="F278">
        <v>61274.19</v>
      </c>
      <c r="G278">
        <v>11629068603.040001</v>
      </c>
      <c r="H278">
        <v>3370477</v>
      </c>
      <c r="I278">
        <v>6255130</v>
      </c>
      <c r="J278">
        <v>7049828</v>
      </c>
      <c r="K278">
        <v>48.72</v>
      </c>
      <c r="L278">
        <v>2.1800000000000002</v>
      </c>
      <c r="M278">
        <v>16.14</v>
      </c>
      <c r="N278">
        <v>-38.04</v>
      </c>
      <c r="O278">
        <v>146</v>
      </c>
      <c r="P278" t="s">
        <v>27</v>
      </c>
      <c r="Q278" t="s">
        <v>47</v>
      </c>
      <c r="R278" t="s">
        <v>64</v>
      </c>
      <c r="S278">
        <v>2012</v>
      </c>
      <c r="T278" t="s">
        <v>36</v>
      </c>
      <c r="U278">
        <v>59377</v>
      </c>
      <c r="V278">
        <v>53.86</v>
      </c>
      <c r="W278">
        <v>89.15</v>
      </c>
      <c r="X278">
        <v>15.8</v>
      </c>
      <c r="Y278">
        <v>55.21</v>
      </c>
    </row>
    <row r="279" spans="1:25" x14ac:dyDescent="0.3">
      <c r="A279" t="s">
        <v>224</v>
      </c>
      <c r="B279" t="str">
        <f t="shared" si="4"/>
        <v>Jun</v>
      </c>
      <c r="C279" t="s">
        <v>78</v>
      </c>
      <c r="D279" t="s">
        <v>79</v>
      </c>
      <c r="E279">
        <v>436835235277.5</v>
      </c>
      <c r="F279">
        <v>10248.049999999999</v>
      </c>
      <c r="G279">
        <v>13939547535.74</v>
      </c>
      <c r="H279">
        <v>13008502</v>
      </c>
      <c r="I279">
        <v>16879472</v>
      </c>
      <c r="J279">
        <v>17151922</v>
      </c>
      <c r="K279">
        <v>25.92</v>
      </c>
      <c r="L279">
        <v>3.69</v>
      </c>
      <c r="M279">
        <v>-7.64</v>
      </c>
      <c r="N279">
        <v>-27.56</v>
      </c>
      <c r="O279">
        <v>58</v>
      </c>
      <c r="P279" t="s">
        <v>51</v>
      </c>
      <c r="Q279" t="s">
        <v>57</v>
      </c>
      <c r="R279" t="s">
        <v>74</v>
      </c>
      <c r="S279">
        <v>2016</v>
      </c>
      <c r="T279" t="s">
        <v>36</v>
      </c>
      <c r="U279">
        <v>19546</v>
      </c>
      <c r="V279">
        <v>82.23</v>
      </c>
      <c r="W279">
        <v>88.86</v>
      </c>
      <c r="X279">
        <v>38.01</v>
      </c>
      <c r="Y279">
        <v>11.82</v>
      </c>
    </row>
    <row r="280" spans="1:25" x14ac:dyDescent="0.3">
      <c r="A280" t="s">
        <v>232</v>
      </c>
      <c r="B280" t="str">
        <f t="shared" si="4"/>
        <v>Oct</v>
      </c>
      <c r="C280" t="s">
        <v>32</v>
      </c>
      <c r="D280" t="s">
        <v>33</v>
      </c>
      <c r="E280">
        <v>577652423967.70996</v>
      </c>
      <c r="F280">
        <v>35712.44</v>
      </c>
      <c r="G280">
        <v>30284430772.869999</v>
      </c>
      <c r="H280">
        <v>9084705</v>
      </c>
      <c r="I280">
        <v>10336872</v>
      </c>
      <c r="J280">
        <v>10409679</v>
      </c>
      <c r="K280">
        <v>2.14</v>
      </c>
      <c r="L280">
        <v>-4.2</v>
      </c>
      <c r="M280">
        <v>2.17</v>
      </c>
      <c r="N280">
        <v>37.049999999999997</v>
      </c>
      <c r="O280">
        <v>2</v>
      </c>
      <c r="P280" t="s">
        <v>51</v>
      </c>
      <c r="Q280" t="s">
        <v>41</v>
      </c>
      <c r="R280" t="s">
        <v>42</v>
      </c>
      <c r="S280">
        <v>2020</v>
      </c>
      <c r="T280" t="s">
        <v>36</v>
      </c>
      <c r="U280">
        <v>49531</v>
      </c>
      <c r="V280">
        <v>95.83</v>
      </c>
      <c r="W280">
        <v>64.47</v>
      </c>
      <c r="X280">
        <v>50.03</v>
      </c>
      <c r="Y280">
        <v>66.3</v>
      </c>
    </row>
    <row r="281" spans="1:25" x14ac:dyDescent="0.3">
      <c r="A281" t="s">
        <v>156</v>
      </c>
      <c r="B281" t="str">
        <f t="shared" si="4"/>
        <v>Feb</v>
      </c>
      <c r="C281" t="s">
        <v>32</v>
      </c>
      <c r="D281" t="s">
        <v>33</v>
      </c>
      <c r="E281">
        <v>422269370433.97998</v>
      </c>
      <c r="F281">
        <v>21178.67</v>
      </c>
      <c r="G281">
        <v>41490158537.790001</v>
      </c>
      <c r="H281">
        <v>17541743</v>
      </c>
      <c r="I281">
        <v>18516468</v>
      </c>
      <c r="J281">
        <v>18789868</v>
      </c>
      <c r="K281">
        <v>56.25</v>
      </c>
      <c r="L281">
        <v>1.99</v>
      </c>
      <c r="M281">
        <v>15.76</v>
      </c>
      <c r="N281">
        <v>-39.68</v>
      </c>
      <c r="O281">
        <v>74</v>
      </c>
      <c r="P281" t="s">
        <v>40</v>
      </c>
      <c r="Q281" t="s">
        <v>41</v>
      </c>
      <c r="R281" t="s">
        <v>29</v>
      </c>
      <c r="S281">
        <v>2012</v>
      </c>
      <c r="T281" t="s">
        <v>36</v>
      </c>
      <c r="U281">
        <v>42958</v>
      </c>
      <c r="V281">
        <v>43.76</v>
      </c>
      <c r="W281">
        <v>95.93</v>
      </c>
      <c r="X281">
        <v>13.56</v>
      </c>
      <c r="Y281">
        <v>28.22</v>
      </c>
    </row>
    <row r="282" spans="1:25" x14ac:dyDescent="0.3">
      <c r="A282" t="s">
        <v>237</v>
      </c>
      <c r="B282" t="str">
        <f t="shared" si="4"/>
        <v>Aug</v>
      </c>
      <c r="C282" t="s">
        <v>32</v>
      </c>
      <c r="D282" t="s">
        <v>33</v>
      </c>
      <c r="E282">
        <v>412742410736.31</v>
      </c>
      <c r="F282">
        <v>44369.58</v>
      </c>
      <c r="G282">
        <v>4522362598.1400003</v>
      </c>
      <c r="H282">
        <v>3166534</v>
      </c>
      <c r="I282">
        <v>4020964</v>
      </c>
      <c r="J282">
        <v>4538111</v>
      </c>
      <c r="K282">
        <v>20.010000000000002</v>
      </c>
      <c r="L282">
        <v>1.35</v>
      </c>
      <c r="M282">
        <v>18.11</v>
      </c>
      <c r="N282">
        <v>-30.27</v>
      </c>
      <c r="O282">
        <v>77</v>
      </c>
      <c r="P282" t="s">
        <v>51</v>
      </c>
      <c r="Q282" t="s">
        <v>41</v>
      </c>
      <c r="R282" t="s">
        <v>74</v>
      </c>
      <c r="S282">
        <v>2015</v>
      </c>
      <c r="T282" t="s">
        <v>36</v>
      </c>
      <c r="U282">
        <v>34733</v>
      </c>
      <c r="V282">
        <v>44.77</v>
      </c>
      <c r="W282">
        <v>29.52</v>
      </c>
      <c r="X282">
        <v>87.99</v>
      </c>
      <c r="Y282">
        <v>47.78</v>
      </c>
    </row>
    <row r="283" spans="1:25" x14ac:dyDescent="0.3">
      <c r="A283" t="s">
        <v>258</v>
      </c>
      <c r="B283" t="str">
        <f t="shared" si="4"/>
        <v>Mar</v>
      </c>
      <c r="C283" t="s">
        <v>55</v>
      </c>
      <c r="D283" t="s">
        <v>56</v>
      </c>
      <c r="E283">
        <v>401777107850.78003</v>
      </c>
      <c r="F283">
        <v>56793.24</v>
      </c>
      <c r="G283">
        <v>3502925561.8099999</v>
      </c>
      <c r="H283">
        <v>14222665</v>
      </c>
      <c r="I283">
        <v>14326289</v>
      </c>
      <c r="J283">
        <v>15206623</v>
      </c>
      <c r="K283">
        <v>18.96</v>
      </c>
      <c r="L283">
        <v>0.55000000000000004</v>
      </c>
      <c r="M283">
        <v>-14.28</v>
      </c>
      <c r="N283">
        <v>18.899999999999999</v>
      </c>
      <c r="O283">
        <v>113</v>
      </c>
      <c r="P283" t="s">
        <v>27</v>
      </c>
      <c r="Q283" t="s">
        <v>57</v>
      </c>
      <c r="R283" t="s">
        <v>29</v>
      </c>
      <c r="S283">
        <v>2016</v>
      </c>
      <c r="T283" t="s">
        <v>58</v>
      </c>
      <c r="U283">
        <v>47477</v>
      </c>
      <c r="V283">
        <v>87.15</v>
      </c>
      <c r="W283">
        <v>36.33</v>
      </c>
      <c r="X283">
        <v>47.71</v>
      </c>
      <c r="Y283">
        <v>18.399999999999999</v>
      </c>
    </row>
    <row r="284" spans="1:25" x14ac:dyDescent="0.3">
      <c r="A284" t="s">
        <v>259</v>
      </c>
      <c r="B284" t="str">
        <f t="shared" si="4"/>
        <v>Jul</v>
      </c>
      <c r="C284" t="s">
        <v>44</v>
      </c>
      <c r="D284" t="s">
        <v>45</v>
      </c>
      <c r="E284">
        <v>553015581951.57996</v>
      </c>
      <c r="F284">
        <v>4483.09</v>
      </c>
      <c r="G284">
        <v>31960475131.779999</v>
      </c>
      <c r="H284">
        <v>18451504</v>
      </c>
      <c r="I284">
        <v>19102432</v>
      </c>
      <c r="J284">
        <v>19421434</v>
      </c>
      <c r="K284">
        <v>32.83</v>
      </c>
      <c r="L284">
        <v>2.87</v>
      </c>
      <c r="M284">
        <v>-11.42</v>
      </c>
      <c r="N284">
        <v>-35.6</v>
      </c>
      <c r="O284">
        <v>103</v>
      </c>
      <c r="P284" t="s">
        <v>53</v>
      </c>
      <c r="Q284" t="s">
        <v>47</v>
      </c>
      <c r="R284" t="s">
        <v>29</v>
      </c>
      <c r="S284">
        <v>2013</v>
      </c>
      <c r="T284" t="s">
        <v>36</v>
      </c>
      <c r="U284">
        <v>15133</v>
      </c>
      <c r="V284">
        <v>20.85</v>
      </c>
      <c r="W284">
        <v>86.2</v>
      </c>
      <c r="X284">
        <v>54.33</v>
      </c>
      <c r="Y284">
        <v>65.38</v>
      </c>
    </row>
    <row r="285" spans="1:25" x14ac:dyDescent="0.3">
      <c r="A285" t="s">
        <v>260</v>
      </c>
      <c r="B285" t="str">
        <f t="shared" si="4"/>
        <v>Jul</v>
      </c>
      <c r="C285" t="s">
        <v>38</v>
      </c>
      <c r="D285" t="s">
        <v>39</v>
      </c>
      <c r="E285">
        <v>649617704589.39001</v>
      </c>
      <c r="F285">
        <v>2348.02</v>
      </c>
      <c r="G285">
        <v>10775951249.309999</v>
      </c>
      <c r="H285">
        <v>8621189</v>
      </c>
      <c r="I285">
        <v>12754121</v>
      </c>
      <c r="J285">
        <v>13124043</v>
      </c>
      <c r="K285">
        <v>39.9</v>
      </c>
      <c r="L285">
        <v>-2.72</v>
      </c>
      <c r="M285">
        <v>-10.199999999999999</v>
      </c>
      <c r="N285">
        <v>10.82</v>
      </c>
      <c r="O285">
        <v>34</v>
      </c>
      <c r="P285" t="s">
        <v>40</v>
      </c>
      <c r="Q285" t="s">
        <v>34</v>
      </c>
      <c r="R285" t="s">
        <v>29</v>
      </c>
      <c r="S285">
        <v>2021</v>
      </c>
      <c r="T285" t="s">
        <v>36</v>
      </c>
      <c r="U285">
        <v>53303</v>
      </c>
      <c r="V285">
        <v>79.77</v>
      </c>
      <c r="W285">
        <v>74.459999999999994</v>
      </c>
      <c r="X285">
        <v>15.94</v>
      </c>
      <c r="Y285">
        <v>44.9</v>
      </c>
    </row>
    <row r="286" spans="1:25" x14ac:dyDescent="0.3">
      <c r="A286" t="s">
        <v>261</v>
      </c>
      <c r="B286" t="str">
        <f t="shared" si="4"/>
        <v>Feb</v>
      </c>
      <c r="C286" t="s">
        <v>49</v>
      </c>
      <c r="D286" t="s">
        <v>50</v>
      </c>
      <c r="E286">
        <v>366419009176.10999</v>
      </c>
      <c r="F286">
        <v>19118.68</v>
      </c>
      <c r="G286">
        <v>8467087065.0500002</v>
      </c>
      <c r="H286">
        <v>17548743</v>
      </c>
      <c r="I286">
        <v>20816577</v>
      </c>
      <c r="J286">
        <v>21435620</v>
      </c>
      <c r="K286">
        <v>12.28</v>
      </c>
      <c r="L286">
        <v>-0.46</v>
      </c>
      <c r="M286">
        <v>3.56</v>
      </c>
      <c r="N286">
        <v>11</v>
      </c>
      <c r="O286">
        <v>123</v>
      </c>
      <c r="P286" t="s">
        <v>40</v>
      </c>
      <c r="Q286" t="s">
        <v>34</v>
      </c>
      <c r="R286" t="s">
        <v>35</v>
      </c>
      <c r="S286">
        <v>2017</v>
      </c>
      <c r="T286" t="s">
        <v>36</v>
      </c>
      <c r="U286">
        <v>1069</v>
      </c>
      <c r="V286">
        <v>98.27</v>
      </c>
      <c r="W286">
        <v>89.01</v>
      </c>
      <c r="X286">
        <v>62.86</v>
      </c>
      <c r="Y286">
        <v>68.88</v>
      </c>
    </row>
    <row r="287" spans="1:25" x14ac:dyDescent="0.3">
      <c r="A287" t="s">
        <v>262</v>
      </c>
      <c r="B287" t="str">
        <f t="shared" si="4"/>
        <v>Apr</v>
      </c>
      <c r="C287" t="s">
        <v>38</v>
      </c>
      <c r="D287" t="s">
        <v>39</v>
      </c>
      <c r="E287">
        <v>378361829111.27002</v>
      </c>
      <c r="F287">
        <v>17549.22</v>
      </c>
      <c r="G287">
        <v>41262464213.57</v>
      </c>
      <c r="H287">
        <v>10121043</v>
      </c>
      <c r="I287">
        <v>10289843</v>
      </c>
      <c r="J287">
        <v>10980672</v>
      </c>
      <c r="K287">
        <v>1.7</v>
      </c>
      <c r="L287">
        <v>0.08</v>
      </c>
      <c r="M287">
        <v>-2.37</v>
      </c>
      <c r="N287">
        <v>31.99</v>
      </c>
      <c r="O287">
        <v>195</v>
      </c>
      <c r="P287" t="s">
        <v>46</v>
      </c>
      <c r="Q287" t="s">
        <v>41</v>
      </c>
      <c r="R287" t="s">
        <v>29</v>
      </c>
      <c r="S287">
        <v>2021</v>
      </c>
      <c r="T287" t="s">
        <v>36</v>
      </c>
      <c r="U287">
        <v>52595</v>
      </c>
      <c r="V287">
        <v>55.55</v>
      </c>
      <c r="W287">
        <v>96.62</v>
      </c>
      <c r="X287">
        <v>57.37</v>
      </c>
      <c r="Y287">
        <v>48.51</v>
      </c>
    </row>
    <row r="288" spans="1:25" x14ac:dyDescent="0.3">
      <c r="A288" t="s">
        <v>263</v>
      </c>
      <c r="B288" t="str">
        <f t="shared" si="4"/>
        <v>Apr</v>
      </c>
      <c r="C288" t="s">
        <v>44</v>
      </c>
      <c r="D288" t="s">
        <v>45</v>
      </c>
      <c r="E288">
        <v>588013780962.60999</v>
      </c>
      <c r="F288">
        <v>62135.96</v>
      </c>
      <c r="G288">
        <v>21185232243.540001</v>
      </c>
      <c r="H288">
        <v>9617552</v>
      </c>
      <c r="I288">
        <v>10112347</v>
      </c>
      <c r="J288">
        <v>10594157</v>
      </c>
      <c r="K288">
        <v>54.38</v>
      </c>
      <c r="L288">
        <v>-4.26</v>
      </c>
      <c r="M288">
        <v>-3.4</v>
      </c>
      <c r="N288">
        <v>-27.95</v>
      </c>
      <c r="O288">
        <v>155</v>
      </c>
      <c r="P288" t="s">
        <v>46</v>
      </c>
      <c r="Q288" t="s">
        <v>28</v>
      </c>
      <c r="R288" t="s">
        <v>42</v>
      </c>
      <c r="S288">
        <v>2021</v>
      </c>
      <c r="T288" t="s">
        <v>36</v>
      </c>
      <c r="U288">
        <v>64975</v>
      </c>
      <c r="V288">
        <v>39.96</v>
      </c>
      <c r="W288">
        <v>56.49</v>
      </c>
      <c r="X288">
        <v>49.13</v>
      </c>
      <c r="Y288">
        <v>68.88</v>
      </c>
    </row>
    <row r="289" spans="1:25" x14ac:dyDescent="0.3">
      <c r="A289" t="s">
        <v>109</v>
      </c>
      <c r="B289" t="str">
        <f t="shared" si="4"/>
        <v>Dec</v>
      </c>
      <c r="C289" t="s">
        <v>60</v>
      </c>
      <c r="D289" t="s">
        <v>61</v>
      </c>
      <c r="E289">
        <v>465609403669.13</v>
      </c>
      <c r="F289">
        <v>48654.38</v>
      </c>
      <c r="G289">
        <v>26102251320.68</v>
      </c>
      <c r="H289">
        <v>2347090</v>
      </c>
      <c r="I289">
        <v>4412438</v>
      </c>
      <c r="J289">
        <v>4520996</v>
      </c>
      <c r="K289">
        <v>34.96</v>
      </c>
      <c r="L289">
        <v>3.44</v>
      </c>
      <c r="M289">
        <v>-14.96</v>
      </c>
      <c r="N289">
        <v>4.1399999999999997</v>
      </c>
      <c r="O289">
        <v>4</v>
      </c>
      <c r="P289" t="s">
        <v>46</v>
      </c>
      <c r="Q289" t="s">
        <v>34</v>
      </c>
      <c r="R289" t="s">
        <v>64</v>
      </c>
      <c r="S289">
        <v>2016</v>
      </c>
      <c r="T289" t="s">
        <v>30</v>
      </c>
      <c r="U289">
        <v>14818</v>
      </c>
      <c r="V289">
        <v>40.06</v>
      </c>
      <c r="W289">
        <v>54.24</v>
      </c>
      <c r="X289">
        <v>56.02</v>
      </c>
      <c r="Y289">
        <v>33.49</v>
      </c>
    </row>
    <row r="290" spans="1:25" x14ac:dyDescent="0.3">
      <c r="A290" t="s">
        <v>207</v>
      </c>
      <c r="B290" t="str">
        <f t="shared" si="4"/>
        <v>Apr</v>
      </c>
      <c r="C290" t="s">
        <v>90</v>
      </c>
      <c r="D290" t="s">
        <v>91</v>
      </c>
      <c r="E290">
        <v>53118650874.779999</v>
      </c>
      <c r="F290">
        <v>51438.6</v>
      </c>
      <c r="G290">
        <v>3880204318.23</v>
      </c>
      <c r="H290">
        <v>7251113</v>
      </c>
      <c r="I290">
        <v>9406750</v>
      </c>
      <c r="J290">
        <v>9423662</v>
      </c>
      <c r="K290">
        <v>7.82</v>
      </c>
      <c r="L290">
        <v>-1.6</v>
      </c>
      <c r="M290">
        <v>-12.71</v>
      </c>
      <c r="N290">
        <v>-13.82</v>
      </c>
      <c r="O290">
        <v>148</v>
      </c>
      <c r="P290" t="s">
        <v>27</v>
      </c>
      <c r="Q290" t="s">
        <v>28</v>
      </c>
      <c r="R290" t="s">
        <v>35</v>
      </c>
      <c r="S290">
        <v>2015</v>
      </c>
      <c r="T290" t="s">
        <v>30</v>
      </c>
      <c r="U290">
        <v>47906</v>
      </c>
      <c r="V290">
        <v>21.03</v>
      </c>
      <c r="W290">
        <v>32.299999999999997</v>
      </c>
      <c r="X290">
        <v>36.590000000000003</v>
      </c>
      <c r="Y290">
        <v>37.64</v>
      </c>
    </row>
    <row r="291" spans="1:25" x14ac:dyDescent="0.3">
      <c r="A291" t="s">
        <v>239</v>
      </c>
      <c r="B291" t="str">
        <f t="shared" si="4"/>
        <v>Jul</v>
      </c>
      <c r="C291" t="s">
        <v>25</v>
      </c>
      <c r="D291" t="s">
        <v>26</v>
      </c>
      <c r="E291">
        <v>211352035340.23001</v>
      </c>
      <c r="F291">
        <v>55892.35</v>
      </c>
      <c r="G291">
        <v>35144504162.220001</v>
      </c>
      <c r="H291">
        <v>7918572</v>
      </c>
      <c r="I291">
        <v>11219193</v>
      </c>
      <c r="J291">
        <v>11295962</v>
      </c>
      <c r="K291">
        <v>8.7899999999999991</v>
      </c>
      <c r="L291">
        <v>-0.02</v>
      </c>
      <c r="M291">
        <v>18.54</v>
      </c>
      <c r="N291">
        <v>-16.46</v>
      </c>
      <c r="O291">
        <v>65</v>
      </c>
      <c r="P291" t="s">
        <v>46</v>
      </c>
      <c r="Q291" t="s">
        <v>41</v>
      </c>
      <c r="R291" t="s">
        <v>64</v>
      </c>
      <c r="S291">
        <v>2018</v>
      </c>
      <c r="T291" t="s">
        <v>30</v>
      </c>
      <c r="U291">
        <v>8829</v>
      </c>
      <c r="V291">
        <v>22.24</v>
      </c>
      <c r="W291">
        <v>27.62</v>
      </c>
      <c r="X291">
        <v>32.520000000000003</v>
      </c>
      <c r="Y291">
        <v>99.94</v>
      </c>
    </row>
    <row r="292" spans="1:25" x14ac:dyDescent="0.3">
      <c r="A292" t="s">
        <v>264</v>
      </c>
      <c r="B292" t="str">
        <f t="shared" si="4"/>
        <v>Feb</v>
      </c>
      <c r="C292" t="s">
        <v>55</v>
      </c>
      <c r="D292" t="s">
        <v>56</v>
      </c>
      <c r="E292">
        <v>832444259750.41003</v>
      </c>
      <c r="F292">
        <v>65345.85</v>
      </c>
      <c r="G292">
        <v>42677128513.050003</v>
      </c>
      <c r="H292">
        <v>13167728</v>
      </c>
      <c r="I292">
        <v>16649765</v>
      </c>
      <c r="J292">
        <v>17254018</v>
      </c>
      <c r="K292">
        <v>22.95</v>
      </c>
      <c r="L292">
        <v>3.71</v>
      </c>
      <c r="M292">
        <v>-19.989999999999998</v>
      </c>
      <c r="N292">
        <v>14.58</v>
      </c>
      <c r="O292">
        <v>94</v>
      </c>
      <c r="P292" t="s">
        <v>27</v>
      </c>
      <c r="Q292" t="s">
        <v>28</v>
      </c>
      <c r="R292" t="s">
        <v>29</v>
      </c>
      <c r="S292">
        <v>2022</v>
      </c>
      <c r="T292" t="s">
        <v>58</v>
      </c>
      <c r="U292">
        <v>22587</v>
      </c>
      <c r="V292">
        <v>36.72</v>
      </c>
      <c r="W292">
        <v>66.510000000000005</v>
      </c>
      <c r="X292">
        <v>25.23</v>
      </c>
      <c r="Y292">
        <v>41.39</v>
      </c>
    </row>
    <row r="293" spans="1:25" x14ac:dyDescent="0.3">
      <c r="A293" t="s">
        <v>265</v>
      </c>
      <c r="B293" t="str">
        <f t="shared" si="4"/>
        <v>Sep</v>
      </c>
      <c r="C293" t="s">
        <v>60</v>
      </c>
      <c r="D293" t="s">
        <v>61</v>
      </c>
      <c r="E293">
        <v>574019314457.78003</v>
      </c>
      <c r="F293">
        <v>32228.19</v>
      </c>
      <c r="G293">
        <v>4330802000.0299997</v>
      </c>
      <c r="H293">
        <v>6108944</v>
      </c>
      <c r="I293">
        <v>7863353</v>
      </c>
      <c r="J293">
        <v>7937216</v>
      </c>
      <c r="K293">
        <v>33.94</v>
      </c>
      <c r="L293">
        <v>-2.75</v>
      </c>
      <c r="M293">
        <v>18.309999999999999</v>
      </c>
      <c r="N293">
        <v>-35.799999999999997</v>
      </c>
      <c r="O293">
        <v>158</v>
      </c>
      <c r="P293" t="s">
        <v>51</v>
      </c>
      <c r="Q293" t="s">
        <v>41</v>
      </c>
      <c r="R293" t="s">
        <v>42</v>
      </c>
      <c r="S293">
        <v>2020</v>
      </c>
      <c r="T293" t="s">
        <v>30</v>
      </c>
      <c r="U293">
        <v>24278</v>
      </c>
      <c r="V293">
        <v>57.93</v>
      </c>
      <c r="W293">
        <v>96.4</v>
      </c>
      <c r="X293">
        <v>84.17</v>
      </c>
      <c r="Y293">
        <v>77.16</v>
      </c>
    </row>
    <row r="294" spans="1:25" x14ac:dyDescent="0.3">
      <c r="A294" t="s">
        <v>266</v>
      </c>
      <c r="B294" t="str">
        <f t="shared" si="4"/>
        <v>Jul</v>
      </c>
      <c r="C294" t="s">
        <v>78</v>
      </c>
      <c r="D294" t="s">
        <v>79</v>
      </c>
      <c r="E294">
        <v>459503190337.69</v>
      </c>
      <c r="F294">
        <v>33207.800000000003</v>
      </c>
      <c r="G294">
        <v>43300119574.279999</v>
      </c>
      <c r="H294">
        <v>16998389</v>
      </c>
      <c r="I294">
        <v>21325869</v>
      </c>
      <c r="J294">
        <v>21378421</v>
      </c>
      <c r="K294">
        <v>12.91</v>
      </c>
      <c r="L294">
        <v>-4.72</v>
      </c>
      <c r="M294">
        <v>7.44</v>
      </c>
      <c r="N294">
        <v>4.6399999999999997</v>
      </c>
      <c r="O294">
        <v>108</v>
      </c>
      <c r="P294" t="s">
        <v>27</v>
      </c>
      <c r="Q294" t="s">
        <v>57</v>
      </c>
      <c r="R294" t="s">
        <v>74</v>
      </c>
      <c r="S294">
        <v>2014</v>
      </c>
      <c r="T294" t="s">
        <v>36</v>
      </c>
      <c r="U294">
        <v>43631</v>
      </c>
      <c r="V294">
        <v>26.56</v>
      </c>
      <c r="W294">
        <v>67.459999999999994</v>
      </c>
      <c r="X294">
        <v>69.63</v>
      </c>
      <c r="Y294">
        <v>53.93</v>
      </c>
    </row>
    <row r="295" spans="1:25" x14ac:dyDescent="0.3">
      <c r="A295" t="s">
        <v>267</v>
      </c>
      <c r="B295" t="str">
        <f t="shared" si="4"/>
        <v>Jul</v>
      </c>
      <c r="C295" t="s">
        <v>49</v>
      </c>
      <c r="D295" t="s">
        <v>50</v>
      </c>
      <c r="E295">
        <v>85100545597.350006</v>
      </c>
      <c r="F295">
        <v>54086.96</v>
      </c>
      <c r="G295">
        <v>5288920144.2600002</v>
      </c>
      <c r="H295">
        <v>17091157</v>
      </c>
      <c r="I295">
        <v>18518338</v>
      </c>
      <c r="J295">
        <v>18843843</v>
      </c>
      <c r="K295">
        <v>5.32</v>
      </c>
      <c r="L295">
        <v>4.75</v>
      </c>
      <c r="M295">
        <v>14.82</v>
      </c>
      <c r="N295">
        <v>35.03</v>
      </c>
      <c r="O295">
        <v>145</v>
      </c>
      <c r="P295" t="s">
        <v>27</v>
      </c>
      <c r="Q295" t="s">
        <v>41</v>
      </c>
      <c r="R295" t="s">
        <v>74</v>
      </c>
      <c r="S295">
        <v>2019</v>
      </c>
      <c r="T295" t="s">
        <v>36</v>
      </c>
      <c r="U295">
        <v>9671</v>
      </c>
      <c r="V295">
        <v>76.98</v>
      </c>
      <c r="W295">
        <v>28.3</v>
      </c>
      <c r="X295">
        <v>25.97</v>
      </c>
      <c r="Y295">
        <v>56.99</v>
      </c>
    </row>
    <row r="296" spans="1:25" x14ac:dyDescent="0.3">
      <c r="A296" t="s">
        <v>268</v>
      </c>
      <c r="B296" t="str">
        <f t="shared" si="4"/>
        <v>Oct</v>
      </c>
      <c r="C296" t="s">
        <v>32</v>
      </c>
      <c r="D296" t="s">
        <v>33</v>
      </c>
      <c r="E296">
        <v>199707510007.76001</v>
      </c>
      <c r="F296">
        <v>24483.88</v>
      </c>
      <c r="G296">
        <v>47993155277.160004</v>
      </c>
      <c r="H296">
        <v>9525573</v>
      </c>
      <c r="I296">
        <v>9839018</v>
      </c>
      <c r="J296">
        <v>9922048</v>
      </c>
      <c r="K296">
        <v>35</v>
      </c>
      <c r="L296">
        <v>-2.82</v>
      </c>
      <c r="M296">
        <v>-9.17</v>
      </c>
      <c r="N296">
        <v>-26.65</v>
      </c>
      <c r="O296">
        <v>46</v>
      </c>
      <c r="P296" t="s">
        <v>46</v>
      </c>
      <c r="Q296" t="s">
        <v>47</v>
      </c>
      <c r="R296" t="s">
        <v>74</v>
      </c>
      <c r="S296">
        <v>2013</v>
      </c>
      <c r="T296" t="s">
        <v>36</v>
      </c>
      <c r="U296">
        <v>59621</v>
      </c>
      <c r="V296">
        <v>78.34</v>
      </c>
      <c r="W296">
        <v>53.64</v>
      </c>
      <c r="X296">
        <v>34.72</v>
      </c>
      <c r="Y296">
        <v>33.65</v>
      </c>
    </row>
    <row r="297" spans="1:25" x14ac:dyDescent="0.3">
      <c r="A297" t="s">
        <v>218</v>
      </c>
      <c r="B297" t="str">
        <f t="shared" si="4"/>
        <v>Feb</v>
      </c>
      <c r="C297" t="s">
        <v>25</v>
      </c>
      <c r="D297" t="s">
        <v>26</v>
      </c>
      <c r="E297">
        <v>281202682730.46997</v>
      </c>
      <c r="F297">
        <v>32873.89</v>
      </c>
      <c r="G297">
        <v>38518759070.120003</v>
      </c>
      <c r="H297">
        <v>2828464</v>
      </c>
      <c r="I297">
        <v>2850024</v>
      </c>
      <c r="J297">
        <v>3506979</v>
      </c>
      <c r="K297">
        <v>38.049999999999997</v>
      </c>
      <c r="L297">
        <v>2.77</v>
      </c>
      <c r="M297">
        <v>18.420000000000002</v>
      </c>
      <c r="N297">
        <v>15.49</v>
      </c>
      <c r="O297">
        <v>134</v>
      </c>
      <c r="P297" t="s">
        <v>53</v>
      </c>
      <c r="Q297" t="s">
        <v>41</v>
      </c>
      <c r="R297" t="s">
        <v>74</v>
      </c>
      <c r="S297">
        <v>2021</v>
      </c>
      <c r="T297" t="s">
        <v>30</v>
      </c>
      <c r="U297">
        <v>10101</v>
      </c>
      <c r="V297">
        <v>66.31</v>
      </c>
      <c r="W297">
        <v>68.28</v>
      </c>
      <c r="X297">
        <v>31.47</v>
      </c>
      <c r="Y297">
        <v>27.19</v>
      </c>
    </row>
    <row r="298" spans="1:25" x14ac:dyDescent="0.3">
      <c r="A298" t="s">
        <v>269</v>
      </c>
      <c r="B298" t="str">
        <f t="shared" si="4"/>
        <v>Jul</v>
      </c>
      <c r="C298" t="s">
        <v>49</v>
      </c>
      <c r="D298" t="s">
        <v>50</v>
      </c>
      <c r="E298">
        <v>214188491734.09</v>
      </c>
      <c r="F298">
        <v>57779.62</v>
      </c>
      <c r="G298">
        <v>48289976362.889999</v>
      </c>
      <c r="H298">
        <v>9150165</v>
      </c>
      <c r="I298">
        <v>12226899</v>
      </c>
      <c r="J298">
        <v>12508521</v>
      </c>
      <c r="K298">
        <v>35.18</v>
      </c>
      <c r="L298">
        <v>-0.94</v>
      </c>
      <c r="M298">
        <v>-10.15</v>
      </c>
      <c r="N298">
        <v>-17.73</v>
      </c>
      <c r="O298">
        <v>41</v>
      </c>
      <c r="P298" t="s">
        <v>46</v>
      </c>
      <c r="Q298" t="s">
        <v>57</v>
      </c>
      <c r="R298" t="s">
        <v>42</v>
      </c>
      <c r="S298">
        <v>2022</v>
      </c>
      <c r="T298" t="s">
        <v>36</v>
      </c>
      <c r="U298">
        <v>58745</v>
      </c>
      <c r="V298">
        <v>78.739999999999995</v>
      </c>
      <c r="W298">
        <v>97.89</v>
      </c>
      <c r="X298">
        <v>22.6</v>
      </c>
      <c r="Y298">
        <v>95.02</v>
      </c>
    </row>
    <row r="299" spans="1:25" x14ac:dyDescent="0.3">
      <c r="A299" t="s">
        <v>143</v>
      </c>
      <c r="B299" t="str">
        <f t="shared" si="4"/>
        <v>Jun</v>
      </c>
      <c r="C299" t="s">
        <v>55</v>
      </c>
      <c r="D299" t="s">
        <v>56</v>
      </c>
      <c r="E299">
        <v>171289729608.56</v>
      </c>
      <c r="F299">
        <v>31000.95</v>
      </c>
      <c r="G299">
        <v>15579079798.379999</v>
      </c>
      <c r="H299">
        <v>9934284</v>
      </c>
      <c r="I299">
        <v>10749952</v>
      </c>
      <c r="J299">
        <v>11491211</v>
      </c>
      <c r="K299">
        <v>17.88</v>
      </c>
      <c r="L299">
        <v>2.5299999999999998</v>
      </c>
      <c r="M299">
        <v>0.91</v>
      </c>
      <c r="N299">
        <v>-13.39</v>
      </c>
      <c r="O299">
        <v>6</v>
      </c>
      <c r="P299" t="s">
        <v>51</v>
      </c>
      <c r="Q299" t="s">
        <v>57</v>
      </c>
      <c r="R299" t="s">
        <v>74</v>
      </c>
      <c r="S299">
        <v>2017</v>
      </c>
      <c r="T299" t="s">
        <v>58</v>
      </c>
      <c r="U299">
        <v>23377</v>
      </c>
      <c r="V299">
        <v>48.37</v>
      </c>
      <c r="W299">
        <v>86.35</v>
      </c>
      <c r="X299">
        <v>12.75</v>
      </c>
      <c r="Y299">
        <v>19.55</v>
      </c>
    </row>
    <row r="300" spans="1:25" x14ac:dyDescent="0.3">
      <c r="A300" t="s">
        <v>98</v>
      </c>
      <c r="B300" t="str">
        <f t="shared" si="4"/>
        <v>Aug</v>
      </c>
      <c r="C300" t="s">
        <v>60</v>
      </c>
      <c r="D300" t="s">
        <v>61</v>
      </c>
      <c r="E300">
        <v>884160050312.30005</v>
      </c>
      <c r="F300">
        <v>49138.63</v>
      </c>
      <c r="G300">
        <v>48265059798.029999</v>
      </c>
      <c r="H300">
        <v>1219571</v>
      </c>
      <c r="I300">
        <v>5691388</v>
      </c>
      <c r="J300">
        <v>5816838</v>
      </c>
      <c r="K300">
        <v>27.95</v>
      </c>
      <c r="L300">
        <v>-3.71</v>
      </c>
      <c r="M300">
        <v>14.33</v>
      </c>
      <c r="N300">
        <v>-16.7</v>
      </c>
      <c r="O300">
        <v>32</v>
      </c>
      <c r="P300" t="s">
        <v>40</v>
      </c>
      <c r="Q300" t="s">
        <v>34</v>
      </c>
      <c r="R300" t="s">
        <v>74</v>
      </c>
      <c r="S300">
        <v>2013</v>
      </c>
      <c r="T300" t="s">
        <v>30</v>
      </c>
      <c r="U300">
        <v>56800</v>
      </c>
      <c r="V300">
        <v>59.9</v>
      </c>
      <c r="W300">
        <v>74.56</v>
      </c>
      <c r="X300">
        <v>24.16</v>
      </c>
      <c r="Y300">
        <v>13.7</v>
      </c>
    </row>
    <row r="301" spans="1:25" x14ac:dyDescent="0.3">
      <c r="A301" t="s">
        <v>270</v>
      </c>
      <c r="B301" t="str">
        <f t="shared" si="4"/>
        <v>May</v>
      </c>
      <c r="C301" t="s">
        <v>44</v>
      </c>
      <c r="D301" t="s">
        <v>45</v>
      </c>
      <c r="E301">
        <v>410490144092.96002</v>
      </c>
      <c r="F301">
        <v>11851.95</v>
      </c>
      <c r="G301">
        <v>6683172342.9300003</v>
      </c>
      <c r="H301">
        <v>18786520</v>
      </c>
      <c r="I301">
        <v>20919520</v>
      </c>
      <c r="J301">
        <v>21383375</v>
      </c>
      <c r="K301">
        <v>17.920000000000002</v>
      </c>
      <c r="L301">
        <v>1.1499999999999999</v>
      </c>
      <c r="M301">
        <v>18.16</v>
      </c>
      <c r="N301">
        <v>36</v>
      </c>
      <c r="O301">
        <v>103</v>
      </c>
      <c r="P301" t="s">
        <v>40</v>
      </c>
      <c r="Q301" t="s">
        <v>41</v>
      </c>
      <c r="R301" t="s">
        <v>42</v>
      </c>
      <c r="S301">
        <v>2022</v>
      </c>
      <c r="T301" t="s">
        <v>36</v>
      </c>
      <c r="U301">
        <v>10940</v>
      </c>
      <c r="V301">
        <v>88.81</v>
      </c>
      <c r="W301">
        <v>96.01</v>
      </c>
      <c r="X301">
        <v>24.58</v>
      </c>
      <c r="Y301">
        <v>37.869999999999997</v>
      </c>
    </row>
    <row r="302" spans="1:25" x14ac:dyDescent="0.3">
      <c r="A302" t="s">
        <v>146</v>
      </c>
      <c r="B302" t="str">
        <f t="shared" si="4"/>
        <v>Jun</v>
      </c>
      <c r="C302" t="s">
        <v>78</v>
      </c>
      <c r="D302" t="s">
        <v>79</v>
      </c>
      <c r="E302">
        <v>380191239914.46997</v>
      </c>
      <c r="F302">
        <v>23133.46</v>
      </c>
      <c r="G302">
        <v>35706711646.470001</v>
      </c>
      <c r="H302">
        <v>16194205</v>
      </c>
      <c r="I302">
        <v>20147966</v>
      </c>
      <c r="J302">
        <v>20930995</v>
      </c>
      <c r="K302">
        <v>45.45</v>
      </c>
      <c r="L302">
        <v>-4.26</v>
      </c>
      <c r="M302">
        <v>-2.95</v>
      </c>
      <c r="N302">
        <v>7.56</v>
      </c>
      <c r="O302">
        <v>4</v>
      </c>
      <c r="P302" t="s">
        <v>51</v>
      </c>
      <c r="Q302" t="s">
        <v>41</v>
      </c>
      <c r="R302" t="s">
        <v>74</v>
      </c>
      <c r="S302">
        <v>2020</v>
      </c>
      <c r="T302" t="s">
        <v>36</v>
      </c>
      <c r="U302">
        <v>12023</v>
      </c>
      <c r="V302">
        <v>24.27</v>
      </c>
      <c r="W302">
        <v>67.37</v>
      </c>
      <c r="X302">
        <v>93.71</v>
      </c>
      <c r="Y302">
        <v>38.65</v>
      </c>
    </row>
    <row r="303" spans="1:25" x14ac:dyDescent="0.3">
      <c r="A303" t="s">
        <v>271</v>
      </c>
      <c r="B303" t="str">
        <f t="shared" si="4"/>
        <v>May</v>
      </c>
      <c r="C303" t="s">
        <v>90</v>
      </c>
      <c r="D303" t="s">
        <v>91</v>
      </c>
      <c r="E303">
        <v>190031239730.04001</v>
      </c>
      <c r="F303">
        <v>2952.01</v>
      </c>
      <c r="G303">
        <v>8220182151.7700005</v>
      </c>
      <c r="H303">
        <v>13750439</v>
      </c>
      <c r="I303">
        <v>13870685</v>
      </c>
      <c r="J303">
        <v>14833242</v>
      </c>
      <c r="K303">
        <v>31.75</v>
      </c>
      <c r="L303">
        <v>-1.96</v>
      </c>
      <c r="M303">
        <v>18.239999999999998</v>
      </c>
      <c r="N303">
        <v>-18.579999999999998</v>
      </c>
      <c r="O303">
        <v>62</v>
      </c>
      <c r="P303" t="s">
        <v>53</v>
      </c>
      <c r="Q303" t="s">
        <v>41</v>
      </c>
      <c r="R303" t="s">
        <v>42</v>
      </c>
      <c r="S303">
        <v>2013</v>
      </c>
      <c r="T303" t="s">
        <v>30</v>
      </c>
      <c r="U303">
        <v>2008</v>
      </c>
      <c r="V303">
        <v>13.68</v>
      </c>
      <c r="W303">
        <v>57.58</v>
      </c>
      <c r="X303">
        <v>12.74</v>
      </c>
      <c r="Y303">
        <v>74.58</v>
      </c>
    </row>
    <row r="304" spans="1:25" x14ac:dyDescent="0.3">
      <c r="A304" t="s">
        <v>272</v>
      </c>
      <c r="B304" t="str">
        <f t="shared" si="4"/>
        <v>Nov</v>
      </c>
      <c r="C304" t="s">
        <v>90</v>
      </c>
      <c r="D304" t="s">
        <v>91</v>
      </c>
      <c r="E304">
        <v>484238986664.45001</v>
      </c>
      <c r="F304">
        <v>43702.12</v>
      </c>
      <c r="G304">
        <v>48179964799.690002</v>
      </c>
      <c r="H304">
        <v>1984971</v>
      </c>
      <c r="I304">
        <v>6792038</v>
      </c>
      <c r="J304">
        <v>7301779</v>
      </c>
      <c r="K304">
        <v>54.55</v>
      </c>
      <c r="L304">
        <v>2.0299999999999998</v>
      </c>
      <c r="M304">
        <v>-4.67</v>
      </c>
      <c r="N304">
        <v>-27.87</v>
      </c>
      <c r="O304">
        <v>38</v>
      </c>
      <c r="P304" t="s">
        <v>40</v>
      </c>
      <c r="Q304" t="s">
        <v>41</v>
      </c>
      <c r="R304" t="s">
        <v>64</v>
      </c>
      <c r="S304">
        <v>2013</v>
      </c>
      <c r="T304" t="s">
        <v>30</v>
      </c>
      <c r="U304">
        <v>52762</v>
      </c>
      <c r="V304">
        <v>17.87</v>
      </c>
      <c r="W304">
        <v>58.07</v>
      </c>
      <c r="X304">
        <v>19.45</v>
      </c>
      <c r="Y304">
        <v>23.46</v>
      </c>
    </row>
    <row r="305" spans="1:25" x14ac:dyDescent="0.3">
      <c r="A305" t="s">
        <v>119</v>
      </c>
      <c r="B305" t="str">
        <f t="shared" si="4"/>
        <v>May</v>
      </c>
      <c r="C305" t="s">
        <v>90</v>
      </c>
      <c r="D305" t="s">
        <v>91</v>
      </c>
      <c r="E305">
        <v>394667342136.66998</v>
      </c>
      <c r="F305">
        <v>69557.58</v>
      </c>
      <c r="G305">
        <v>25713681745.869999</v>
      </c>
      <c r="H305">
        <v>1839221</v>
      </c>
      <c r="I305">
        <v>2716467</v>
      </c>
      <c r="J305">
        <v>2942432</v>
      </c>
      <c r="K305">
        <v>47.75</v>
      </c>
      <c r="L305">
        <v>-2.44</v>
      </c>
      <c r="M305">
        <v>-13.65</v>
      </c>
      <c r="N305">
        <v>-25.49</v>
      </c>
      <c r="O305">
        <v>21</v>
      </c>
      <c r="P305" t="s">
        <v>51</v>
      </c>
      <c r="Q305" t="s">
        <v>47</v>
      </c>
      <c r="R305" t="s">
        <v>64</v>
      </c>
      <c r="S305">
        <v>2011</v>
      </c>
      <c r="T305" t="s">
        <v>30</v>
      </c>
      <c r="U305">
        <v>1076</v>
      </c>
      <c r="V305">
        <v>26.65</v>
      </c>
      <c r="W305">
        <v>37.94</v>
      </c>
      <c r="X305">
        <v>49.34</v>
      </c>
      <c r="Y305">
        <v>44.7</v>
      </c>
    </row>
    <row r="306" spans="1:25" x14ac:dyDescent="0.3">
      <c r="A306" t="s">
        <v>101</v>
      </c>
      <c r="B306" t="str">
        <f t="shared" si="4"/>
        <v>Jun</v>
      </c>
      <c r="C306" t="s">
        <v>60</v>
      </c>
      <c r="D306" t="s">
        <v>61</v>
      </c>
      <c r="E306">
        <v>453916330103.02002</v>
      </c>
      <c r="F306">
        <v>14562.76</v>
      </c>
      <c r="G306">
        <v>39113751763.029999</v>
      </c>
      <c r="H306">
        <v>5357504</v>
      </c>
      <c r="I306">
        <v>6365989</v>
      </c>
      <c r="J306">
        <v>6713175</v>
      </c>
      <c r="K306">
        <v>6.9</v>
      </c>
      <c r="L306">
        <v>2.92</v>
      </c>
      <c r="M306">
        <v>-3.01</v>
      </c>
      <c r="N306">
        <v>11.32</v>
      </c>
      <c r="O306">
        <v>44</v>
      </c>
      <c r="P306" t="s">
        <v>53</v>
      </c>
      <c r="Q306" t="s">
        <v>41</v>
      </c>
      <c r="R306" t="s">
        <v>64</v>
      </c>
      <c r="S306">
        <v>2012</v>
      </c>
      <c r="T306" t="s">
        <v>30</v>
      </c>
      <c r="U306">
        <v>13971</v>
      </c>
      <c r="V306">
        <v>28.92</v>
      </c>
      <c r="W306">
        <v>69.239999999999995</v>
      </c>
      <c r="X306">
        <v>11.76</v>
      </c>
      <c r="Y306">
        <v>23.53</v>
      </c>
    </row>
    <row r="307" spans="1:25" x14ac:dyDescent="0.3">
      <c r="A307" t="s">
        <v>162</v>
      </c>
      <c r="B307" t="str">
        <f t="shared" si="4"/>
        <v>Oct</v>
      </c>
      <c r="C307" t="s">
        <v>78</v>
      </c>
      <c r="D307" t="s">
        <v>79</v>
      </c>
      <c r="E307">
        <v>884978843712.83997</v>
      </c>
      <c r="F307">
        <v>38742.379999999997</v>
      </c>
      <c r="G307">
        <v>38669432448.629997</v>
      </c>
      <c r="H307">
        <v>13606323</v>
      </c>
      <c r="I307">
        <v>16960946</v>
      </c>
      <c r="J307">
        <v>17499906</v>
      </c>
      <c r="K307">
        <v>47.89</v>
      </c>
      <c r="L307">
        <v>-2.81</v>
      </c>
      <c r="M307">
        <v>16.02</v>
      </c>
      <c r="N307">
        <v>-9.9499999999999993</v>
      </c>
      <c r="O307">
        <v>73</v>
      </c>
      <c r="P307" t="s">
        <v>40</v>
      </c>
      <c r="Q307" t="s">
        <v>41</v>
      </c>
      <c r="R307" t="s">
        <v>42</v>
      </c>
      <c r="S307">
        <v>2010</v>
      </c>
      <c r="T307" t="s">
        <v>36</v>
      </c>
      <c r="U307">
        <v>12077</v>
      </c>
      <c r="V307">
        <v>28.21</v>
      </c>
      <c r="W307">
        <v>33.58</v>
      </c>
      <c r="X307">
        <v>39.729999999999997</v>
      </c>
      <c r="Y307">
        <v>81.11</v>
      </c>
    </row>
    <row r="308" spans="1:25" x14ac:dyDescent="0.3">
      <c r="A308" t="s">
        <v>273</v>
      </c>
      <c r="B308" t="str">
        <f t="shared" si="4"/>
        <v>Mar</v>
      </c>
      <c r="C308" t="s">
        <v>55</v>
      </c>
      <c r="D308" t="s">
        <v>56</v>
      </c>
      <c r="E308">
        <v>832855130479.06006</v>
      </c>
      <c r="F308">
        <v>7317.45</v>
      </c>
      <c r="G308">
        <v>36312499082.940002</v>
      </c>
      <c r="H308">
        <v>1750075</v>
      </c>
      <c r="I308">
        <v>5317675</v>
      </c>
      <c r="J308">
        <v>5914503</v>
      </c>
      <c r="K308">
        <v>27.07</v>
      </c>
      <c r="L308">
        <v>3.45</v>
      </c>
      <c r="M308">
        <v>-1.97</v>
      </c>
      <c r="N308">
        <v>-15.87</v>
      </c>
      <c r="O308">
        <v>119</v>
      </c>
      <c r="P308" t="s">
        <v>51</v>
      </c>
      <c r="Q308" t="s">
        <v>34</v>
      </c>
      <c r="R308" t="s">
        <v>35</v>
      </c>
      <c r="S308">
        <v>2021</v>
      </c>
      <c r="T308" t="s">
        <v>58</v>
      </c>
      <c r="U308">
        <v>5526</v>
      </c>
      <c r="V308">
        <v>62.34</v>
      </c>
      <c r="W308">
        <v>42.91</v>
      </c>
      <c r="X308">
        <v>20.74</v>
      </c>
      <c r="Y308">
        <v>31.13</v>
      </c>
    </row>
    <row r="309" spans="1:25" x14ac:dyDescent="0.3">
      <c r="A309" t="s">
        <v>104</v>
      </c>
      <c r="B309" t="str">
        <f t="shared" si="4"/>
        <v>Oct</v>
      </c>
      <c r="C309" t="s">
        <v>44</v>
      </c>
      <c r="D309" t="s">
        <v>45</v>
      </c>
      <c r="E309">
        <v>596006058887.43994</v>
      </c>
      <c r="F309">
        <v>45358.720000000001</v>
      </c>
      <c r="G309">
        <v>32055228446.009998</v>
      </c>
      <c r="H309">
        <v>12507639</v>
      </c>
      <c r="I309">
        <v>17101738</v>
      </c>
      <c r="J309">
        <v>17984425</v>
      </c>
      <c r="K309">
        <v>30.09</v>
      </c>
      <c r="L309">
        <v>-1.95</v>
      </c>
      <c r="M309">
        <v>11.46</v>
      </c>
      <c r="N309">
        <v>31.84</v>
      </c>
      <c r="O309">
        <v>70</v>
      </c>
      <c r="P309" t="s">
        <v>27</v>
      </c>
      <c r="Q309" t="s">
        <v>34</v>
      </c>
      <c r="R309" t="s">
        <v>29</v>
      </c>
      <c r="S309">
        <v>2011</v>
      </c>
      <c r="T309" t="s">
        <v>36</v>
      </c>
      <c r="U309">
        <v>20201</v>
      </c>
      <c r="V309">
        <v>29.99</v>
      </c>
      <c r="W309">
        <v>21.81</v>
      </c>
      <c r="X309">
        <v>24.59</v>
      </c>
      <c r="Y309">
        <v>55.1</v>
      </c>
    </row>
    <row r="310" spans="1:25" x14ac:dyDescent="0.3">
      <c r="A310" t="s">
        <v>274</v>
      </c>
      <c r="B310" t="str">
        <f t="shared" si="4"/>
        <v>Jan</v>
      </c>
      <c r="C310" t="s">
        <v>78</v>
      </c>
      <c r="D310" t="s">
        <v>79</v>
      </c>
      <c r="E310">
        <v>7692843212.8900003</v>
      </c>
      <c r="F310">
        <v>60310.01</v>
      </c>
      <c r="G310">
        <v>11839969576.700001</v>
      </c>
      <c r="H310">
        <v>4595594</v>
      </c>
      <c r="I310">
        <v>8748203</v>
      </c>
      <c r="J310">
        <v>9098251</v>
      </c>
      <c r="K310">
        <v>24.57</v>
      </c>
      <c r="L310">
        <v>1.22</v>
      </c>
      <c r="M310">
        <v>-18.38</v>
      </c>
      <c r="N310">
        <v>13.35</v>
      </c>
      <c r="O310">
        <v>29</v>
      </c>
      <c r="P310" t="s">
        <v>51</v>
      </c>
      <c r="Q310" t="s">
        <v>57</v>
      </c>
      <c r="R310" t="s">
        <v>64</v>
      </c>
      <c r="S310">
        <v>2015</v>
      </c>
      <c r="T310" t="s">
        <v>36</v>
      </c>
      <c r="U310">
        <v>40519</v>
      </c>
      <c r="V310">
        <v>29.84</v>
      </c>
      <c r="W310">
        <v>26.14</v>
      </c>
      <c r="X310">
        <v>79.91</v>
      </c>
      <c r="Y310">
        <v>70.69</v>
      </c>
    </row>
    <row r="311" spans="1:25" x14ac:dyDescent="0.3">
      <c r="A311" t="s">
        <v>275</v>
      </c>
      <c r="B311" t="str">
        <f t="shared" si="4"/>
        <v>Dec</v>
      </c>
      <c r="C311" t="s">
        <v>55</v>
      </c>
      <c r="D311" t="s">
        <v>56</v>
      </c>
      <c r="E311">
        <v>804799835706.19995</v>
      </c>
      <c r="F311">
        <v>29564.18</v>
      </c>
      <c r="G311">
        <v>25109996602.5</v>
      </c>
      <c r="H311">
        <v>10607548</v>
      </c>
      <c r="I311">
        <v>12188595</v>
      </c>
      <c r="J311">
        <v>12990579</v>
      </c>
      <c r="K311">
        <v>11.39</v>
      </c>
      <c r="L311">
        <v>2.63</v>
      </c>
      <c r="M311">
        <v>-14.41</v>
      </c>
      <c r="N311">
        <v>24.56</v>
      </c>
      <c r="O311">
        <v>17</v>
      </c>
      <c r="P311" t="s">
        <v>53</v>
      </c>
      <c r="Q311" t="s">
        <v>41</v>
      </c>
      <c r="R311" t="s">
        <v>74</v>
      </c>
      <c r="S311">
        <v>2022</v>
      </c>
      <c r="T311" t="s">
        <v>58</v>
      </c>
      <c r="U311">
        <v>9305</v>
      </c>
      <c r="V311">
        <v>34.03</v>
      </c>
      <c r="W311">
        <v>67.41</v>
      </c>
      <c r="X311">
        <v>16.329999999999998</v>
      </c>
      <c r="Y311">
        <v>68.97</v>
      </c>
    </row>
    <row r="312" spans="1:25" x14ac:dyDescent="0.3">
      <c r="A312" t="s">
        <v>276</v>
      </c>
      <c r="B312" t="str">
        <f t="shared" si="4"/>
        <v>Apr</v>
      </c>
      <c r="C312" t="s">
        <v>90</v>
      </c>
      <c r="D312" t="s">
        <v>91</v>
      </c>
      <c r="E312">
        <v>890471585785.07996</v>
      </c>
      <c r="F312">
        <v>43390.12</v>
      </c>
      <c r="G312">
        <v>13227715320.360001</v>
      </c>
      <c r="H312">
        <v>17483358</v>
      </c>
      <c r="I312">
        <v>18136367</v>
      </c>
      <c r="J312">
        <v>18466824</v>
      </c>
      <c r="K312">
        <v>54.48</v>
      </c>
      <c r="L312">
        <v>1.61</v>
      </c>
      <c r="M312">
        <v>-2.54</v>
      </c>
      <c r="N312">
        <v>15.74</v>
      </c>
      <c r="O312">
        <v>181</v>
      </c>
      <c r="P312" t="s">
        <v>46</v>
      </c>
      <c r="Q312" t="s">
        <v>57</v>
      </c>
      <c r="R312" t="s">
        <v>35</v>
      </c>
      <c r="S312">
        <v>2019</v>
      </c>
      <c r="T312" t="s">
        <v>30</v>
      </c>
      <c r="U312">
        <v>47987</v>
      </c>
      <c r="V312">
        <v>54.45</v>
      </c>
      <c r="W312">
        <v>70.489999999999995</v>
      </c>
      <c r="X312">
        <v>54.11</v>
      </c>
      <c r="Y312">
        <v>51.66</v>
      </c>
    </row>
    <row r="313" spans="1:25" x14ac:dyDescent="0.3">
      <c r="A313" t="s">
        <v>277</v>
      </c>
      <c r="B313" t="str">
        <f t="shared" si="4"/>
        <v>Dec</v>
      </c>
      <c r="C313" t="s">
        <v>55</v>
      </c>
      <c r="D313" t="s">
        <v>56</v>
      </c>
      <c r="E313">
        <v>725152439482.55005</v>
      </c>
      <c r="F313">
        <v>5511.27</v>
      </c>
      <c r="G313">
        <v>48320783639.879997</v>
      </c>
      <c r="H313">
        <v>1233982</v>
      </c>
      <c r="I313">
        <v>1613259</v>
      </c>
      <c r="J313">
        <v>2190645</v>
      </c>
      <c r="K313">
        <v>46.25</v>
      </c>
      <c r="L313">
        <v>-1.18</v>
      </c>
      <c r="M313">
        <v>3.81</v>
      </c>
      <c r="N313">
        <v>-6.68</v>
      </c>
      <c r="O313">
        <v>72</v>
      </c>
      <c r="P313" t="s">
        <v>51</v>
      </c>
      <c r="Q313" t="s">
        <v>28</v>
      </c>
      <c r="R313" t="s">
        <v>74</v>
      </c>
      <c r="S313">
        <v>2023</v>
      </c>
      <c r="T313" t="s">
        <v>58</v>
      </c>
      <c r="U313">
        <v>10985</v>
      </c>
      <c r="V313">
        <v>53.64</v>
      </c>
      <c r="W313">
        <v>66.09</v>
      </c>
      <c r="X313">
        <v>29.51</v>
      </c>
      <c r="Y313">
        <v>96.69</v>
      </c>
    </row>
    <row r="314" spans="1:25" x14ac:dyDescent="0.3">
      <c r="A314" t="s">
        <v>278</v>
      </c>
      <c r="B314" t="str">
        <f t="shared" si="4"/>
        <v>Aug</v>
      </c>
      <c r="C314" t="s">
        <v>68</v>
      </c>
      <c r="D314" t="s">
        <v>69</v>
      </c>
      <c r="E314">
        <v>269465525984.69</v>
      </c>
      <c r="F314">
        <v>39389.89</v>
      </c>
      <c r="G314">
        <v>3979105605.0799999</v>
      </c>
      <c r="H314">
        <v>5013682</v>
      </c>
      <c r="I314">
        <v>8866988</v>
      </c>
      <c r="J314">
        <v>9338090</v>
      </c>
      <c r="K314">
        <v>4</v>
      </c>
      <c r="L314">
        <v>-0.59</v>
      </c>
      <c r="M314">
        <v>-16.89</v>
      </c>
      <c r="N314">
        <v>4.1900000000000004</v>
      </c>
      <c r="O314">
        <v>195</v>
      </c>
      <c r="P314" t="s">
        <v>27</v>
      </c>
      <c r="Q314" t="s">
        <v>47</v>
      </c>
      <c r="R314" t="s">
        <v>29</v>
      </c>
      <c r="S314">
        <v>2013</v>
      </c>
      <c r="T314" t="s">
        <v>36</v>
      </c>
      <c r="U314">
        <v>20836</v>
      </c>
      <c r="V314">
        <v>64.92</v>
      </c>
      <c r="W314">
        <v>51.53</v>
      </c>
      <c r="X314">
        <v>63.88</v>
      </c>
      <c r="Y314">
        <v>43.72</v>
      </c>
    </row>
    <row r="315" spans="1:25" x14ac:dyDescent="0.3">
      <c r="A315" t="s">
        <v>279</v>
      </c>
      <c r="B315" t="str">
        <f t="shared" si="4"/>
        <v>Nov</v>
      </c>
      <c r="C315" t="s">
        <v>32</v>
      </c>
      <c r="D315" t="s">
        <v>33</v>
      </c>
      <c r="E315">
        <v>318198955350.76001</v>
      </c>
      <c r="F315">
        <v>63560.91</v>
      </c>
      <c r="G315">
        <v>15552350050.719999</v>
      </c>
      <c r="H315">
        <v>10510589</v>
      </c>
      <c r="I315">
        <v>15160906</v>
      </c>
      <c r="J315">
        <v>15402703</v>
      </c>
      <c r="K315">
        <v>34.67</v>
      </c>
      <c r="L315">
        <v>-2.44</v>
      </c>
      <c r="M315">
        <v>10.59</v>
      </c>
      <c r="N315">
        <v>-30.2</v>
      </c>
      <c r="O315">
        <v>150</v>
      </c>
      <c r="P315" t="s">
        <v>40</v>
      </c>
      <c r="Q315" t="s">
        <v>41</v>
      </c>
      <c r="R315" t="s">
        <v>64</v>
      </c>
      <c r="S315">
        <v>2010</v>
      </c>
      <c r="T315" t="s">
        <v>36</v>
      </c>
      <c r="U315">
        <v>5090</v>
      </c>
      <c r="V315">
        <v>89.24</v>
      </c>
      <c r="W315">
        <v>59.26</v>
      </c>
      <c r="X315">
        <v>43.29</v>
      </c>
      <c r="Y315">
        <v>67.760000000000005</v>
      </c>
    </row>
    <row r="316" spans="1:25" x14ac:dyDescent="0.3">
      <c r="A316" t="s">
        <v>280</v>
      </c>
      <c r="B316" t="str">
        <f t="shared" si="4"/>
        <v>Nov</v>
      </c>
      <c r="C316" t="s">
        <v>68</v>
      </c>
      <c r="D316" t="s">
        <v>69</v>
      </c>
      <c r="E316">
        <v>832709153793.07996</v>
      </c>
      <c r="F316">
        <v>39118.11</v>
      </c>
      <c r="G316">
        <v>24757790916.77</v>
      </c>
      <c r="H316">
        <v>3228959</v>
      </c>
      <c r="I316">
        <v>7464437</v>
      </c>
      <c r="J316">
        <v>7811199</v>
      </c>
      <c r="K316">
        <v>31.46</v>
      </c>
      <c r="L316">
        <v>0.27</v>
      </c>
      <c r="M316">
        <v>-17.440000000000001</v>
      </c>
      <c r="N316">
        <v>32.97</v>
      </c>
      <c r="O316">
        <v>192</v>
      </c>
      <c r="P316" t="s">
        <v>40</v>
      </c>
      <c r="Q316" t="s">
        <v>57</v>
      </c>
      <c r="R316" t="s">
        <v>29</v>
      </c>
      <c r="S316">
        <v>2022</v>
      </c>
      <c r="T316" t="s">
        <v>36</v>
      </c>
      <c r="U316">
        <v>32161</v>
      </c>
      <c r="V316">
        <v>90.41</v>
      </c>
      <c r="W316">
        <v>88.2</v>
      </c>
      <c r="X316">
        <v>80.010000000000005</v>
      </c>
      <c r="Y316">
        <v>98.14</v>
      </c>
    </row>
    <row r="317" spans="1:25" x14ac:dyDescent="0.3">
      <c r="A317" t="s">
        <v>207</v>
      </c>
      <c r="B317" t="str">
        <f t="shared" si="4"/>
        <v>Apr</v>
      </c>
      <c r="C317" t="s">
        <v>78</v>
      </c>
      <c r="D317" t="s">
        <v>79</v>
      </c>
      <c r="E317">
        <v>131517001522.05</v>
      </c>
      <c r="F317">
        <v>18143.439999999999</v>
      </c>
      <c r="G317">
        <v>25538215448.700001</v>
      </c>
      <c r="H317">
        <v>3067283</v>
      </c>
      <c r="I317">
        <v>5606862</v>
      </c>
      <c r="J317">
        <v>6363904</v>
      </c>
      <c r="K317">
        <v>14.59</v>
      </c>
      <c r="L317">
        <v>-3.17</v>
      </c>
      <c r="M317">
        <v>11.43</v>
      </c>
      <c r="N317">
        <v>-5.64</v>
      </c>
      <c r="O317">
        <v>37</v>
      </c>
      <c r="P317" t="s">
        <v>27</v>
      </c>
      <c r="Q317" t="s">
        <v>28</v>
      </c>
      <c r="R317" t="s">
        <v>42</v>
      </c>
      <c r="S317">
        <v>2022</v>
      </c>
      <c r="T317" t="s">
        <v>36</v>
      </c>
      <c r="U317">
        <v>48674</v>
      </c>
      <c r="V317">
        <v>72.55</v>
      </c>
      <c r="W317">
        <v>91.57</v>
      </c>
      <c r="X317">
        <v>11.91</v>
      </c>
      <c r="Y317">
        <v>72.66</v>
      </c>
    </row>
    <row r="318" spans="1:25" x14ac:dyDescent="0.3">
      <c r="A318" t="s">
        <v>281</v>
      </c>
      <c r="B318" t="str">
        <f t="shared" si="4"/>
        <v>May</v>
      </c>
      <c r="C318" t="s">
        <v>90</v>
      </c>
      <c r="D318" t="s">
        <v>91</v>
      </c>
      <c r="E318">
        <v>5004580586.7399998</v>
      </c>
      <c r="F318">
        <v>3901.26</v>
      </c>
      <c r="G318">
        <v>8268569848.4799995</v>
      </c>
      <c r="H318">
        <v>10310400</v>
      </c>
      <c r="I318">
        <v>12324818</v>
      </c>
      <c r="J318">
        <v>12566183</v>
      </c>
      <c r="K318">
        <v>31.03</v>
      </c>
      <c r="L318">
        <v>3.85</v>
      </c>
      <c r="M318">
        <v>8.09</v>
      </c>
      <c r="N318">
        <v>-16.91</v>
      </c>
      <c r="O318">
        <v>191</v>
      </c>
      <c r="P318" t="s">
        <v>46</v>
      </c>
      <c r="Q318" t="s">
        <v>41</v>
      </c>
      <c r="R318" t="s">
        <v>74</v>
      </c>
      <c r="S318">
        <v>2022</v>
      </c>
      <c r="T318" t="s">
        <v>30</v>
      </c>
      <c r="U318">
        <v>11527</v>
      </c>
      <c r="V318">
        <v>67.56</v>
      </c>
      <c r="W318">
        <v>87.42</v>
      </c>
      <c r="X318">
        <v>22.62</v>
      </c>
      <c r="Y318">
        <v>32.08</v>
      </c>
    </row>
    <row r="319" spans="1:25" x14ac:dyDescent="0.3">
      <c r="A319" t="s">
        <v>282</v>
      </c>
      <c r="B319" t="str">
        <f t="shared" si="4"/>
        <v>Feb</v>
      </c>
      <c r="C319" t="s">
        <v>25</v>
      </c>
      <c r="D319" t="s">
        <v>26</v>
      </c>
      <c r="E319">
        <v>318213713033.09003</v>
      </c>
      <c r="F319">
        <v>34970.68</v>
      </c>
      <c r="G319">
        <v>36974846284.690002</v>
      </c>
      <c r="H319">
        <v>16171751</v>
      </c>
      <c r="I319">
        <v>17867247</v>
      </c>
      <c r="J319">
        <v>18575612</v>
      </c>
      <c r="K319">
        <v>3.98</v>
      </c>
      <c r="L319">
        <v>3.23</v>
      </c>
      <c r="M319">
        <v>17.649999999999999</v>
      </c>
      <c r="N319">
        <v>-23.91</v>
      </c>
      <c r="O319">
        <v>68</v>
      </c>
      <c r="P319" t="s">
        <v>53</v>
      </c>
      <c r="Q319" t="s">
        <v>41</v>
      </c>
      <c r="R319" t="s">
        <v>29</v>
      </c>
      <c r="S319">
        <v>2016</v>
      </c>
      <c r="T319" t="s">
        <v>30</v>
      </c>
      <c r="U319">
        <v>57227</v>
      </c>
      <c r="V319">
        <v>72.540000000000006</v>
      </c>
      <c r="W319">
        <v>84.81</v>
      </c>
      <c r="X319">
        <v>82.13</v>
      </c>
      <c r="Y319">
        <v>57.42</v>
      </c>
    </row>
    <row r="320" spans="1:25" x14ac:dyDescent="0.3">
      <c r="A320" t="s">
        <v>283</v>
      </c>
      <c r="B320" t="str">
        <f t="shared" si="4"/>
        <v>Dec</v>
      </c>
      <c r="C320" t="s">
        <v>55</v>
      </c>
      <c r="D320" t="s">
        <v>56</v>
      </c>
      <c r="E320">
        <v>864830629795.57996</v>
      </c>
      <c r="F320">
        <v>30072.69</v>
      </c>
      <c r="G320">
        <v>36616671379.459999</v>
      </c>
      <c r="H320">
        <v>4105695</v>
      </c>
      <c r="I320">
        <v>7183482</v>
      </c>
      <c r="J320">
        <v>7821285</v>
      </c>
      <c r="K320">
        <v>14.1</v>
      </c>
      <c r="L320">
        <v>3.74</v>
      </c>
      <c r="M320">
        <v>-6.03</v>
      </c>
      <c r="N320">
        <v>11.4</v>
      </c>
      <c r="O320">
        <v>31</v>
      </c>
      <c r="P320" t="s">
        <v>53</v>
      </c>
      <c r="Q320" t="s">
        <v>57</v>
      </c>
      <c r="R320" t="s">
        <v>29</v>
      </c>
      <c r="S320">
        <v>2012</v>
      </c>
      <c r="T320" t="s">
        <v>58</v>
      </c>
      <c r="U320">
        <v>38900</v>
      </c>
      <c r="V320">
        <v>25.01</v>
      </c>
      <c r="W320">
        <v>43.93</v>
      </c>
      <c r="X320">
        <v>70.88</v>
      </c>
      <c r="Y320">
        <v>66.02</v>
      </c>
    </row>
    <row r="321" spans="1:25" x14ac:dyDescent="0.3">
      <c r="A321" t="s">
        <v>284</v>
      </c>
      <c r="B321" t="str">
        <f t="shared" si="4"/>
        <v>Jun</v>
      </c>
      <c r="C321" t="s">
        <v>38</v>
      </c>
      <c r="D321" t="s">
        <v>39</v>
      </c>
      <c r="E321">
        <v>151763256187.85999</v>
      </c>
      <c r="F321">
        <v>68946.600000000006</v>
      </c>
      <c r="G321">
        <v>20455745151.029999</v>
      </c>
      <c r="H321">
        <v>2297233</v>
      </c>
      <c r="I321">
        <v>7238067</v>
      </c>
      <c r="J321">
        <v>8021232</v>
      </c>
      <c r="K321">
        <v>16.57</v>
      </c>
      <c r="L321">
        <v>2.59</v>
      </c>
      <c r="M321">
        <v>-8.59</v>
      </c>
      <c r="N321">
        <v>25.84</v>
      </c>
      <c r="O321">
        <v>133</v>
      </c>
      <c r="P321" t="s">
        <v>46</v>
      </c>
      <c r="Q321" t="s">
        <v>57</v>
      </c>
      <c r="R321" t="s">
        <v>74</v>
      </c>
      <c r="S321">
        <v>2019</v>
      </c>
      <c r="T321" t="s">
        <v>36</v>
      </c>
      <c r="U321">
        <v>38986</v>
      </c>
      <c r="V321">
        <v>96.6</v>
      </c>
      <c r="W321">
        <v>21.21</v>
      </c>
      <c r="X321">
        <v>50.75</v>
      </c>
      <c r="Y321">
        <v>23.46</v>
      </c>
    </row>
    <row r="322" spans="1:25" x14ac:dyDescent="0.3">
      <c r="A322" t="s">
        <v>116</v>
      </c>
      <c r="B322" t="str">
        <f t="shared" ref="B322:B385" si="5">TEXT(A322,"MMM")</f>
        <v>Feb</v>
      </c>
      <c r="C322" t="s">
        <v>78</v>
      </c>
      <c r="D322" t="s">
        <v>79</v>
      </c>
      <c r="E322">
        <v>850821774736.34998</v>
      </c>
      <c r="F322">
        <v>37868.53</v>
      </c>
      <c r="G322">
        <v>4923477316.9499998</v>
      </c>
      <c r="H322">
        <v>7762511</v>
      </c>
      <c r="I322">
        <v>9175640</v>
      </c>
      <c r="J322">
        <v>9241328</v>
      </c>
      <c r="K322">
        <v>5.52</v>
      </c>
      <c r="L322">
        <v>1.52</v>
      </c>
      <c r="M322">
        <v>5.0199999999999996</v>
      </c>
      <c r="N322">
        <v>5.8</v>
      </c>
      <c r="O322">
        <v>140</v>
      </c>
      <c r="P322" t="s">
        <v>51</v>
      </c>
      <c r="Q322" t="s">
        <v>47</v>
      </c>
      <c r="R322" t="s">
        <v>35</v>
      </c>
      <c r="S322">
        <v>2010</v>
      </c>
      <c r="T322" t="s">
        <v>36</v>
      </c>
      <c r="U322">
        <v>16133</v>
      </c>
      <c r="V322">
        <v>75.540000000000006</v>
      </c>
      <c r="W322">
        <v>61.75</v>
      </c>
      <c r="X322">
        <v>21.84</v>
      </c>
      <c r="Y322">
        <v>91.23</v>
      </c>
    </row>
    <row r="323" spans="1:25" x14ac:dyDescent="0.3">
      <c r="A323" t="s">
        <v>185</v>
      </c>
      <c r="B323" t="str">
        <f t="shared" si="5"/>
        <v>Feb</v>
      </c>
      <c r="C323" t="s">
        <v>32</v>
      </c>
      <c r="D323" t="s">
        <v>33</v>
      </c>
      <c r="E323">
        <v>481671537082.60999</v>
      </c>
      <c r="F323">
        <v>18798.07</v>
      </c>
      <c r="G323">
        <v>23545105146.169998</v>
      </c>
      <c r="H323">
        <v>14872372</v>
      </c>
      <c r="I323">
        <v>15074568</v>
      </c>
      <c r="J323">
        <v>15614248</v>
      </c>
      <c r="K323">
        <v>15.84</v>
      </c>
      <c r="L323">
        <v>1.44</v>
      </c>
      <c r="M323">
        <v>1.1599999999999999</v>
      </c>
      <c r="N323">
        <v>-37.21</v>
      </c>
      <c r="O323">
        <v>135</v>
      </c>
      <c r="P323" t="s">
        <v>40</v>
      </c>
      <c r="Q323" t="s">
        <v>34</v>
      </c>
      <c r="R323" t="s">
        <v>74</v>
      </c>
      <c r="S323">
        <v>2019</v>
      </c>
      <c r="T323" t="s">
        <v>36</v>
      </c>
      <c r="U323">
        <v>6454</v>
      </c>
      <c r="V323">
        <v>10.48</v>
      </c>
      <c r="W323">
        <v>96.34</v>
      </c>
      <c r="X323">
        <v>36.65</v>
      </c>
      <c r="Y323">
        <v>45.37</v>
      </c>
    </row>
    <row r="324" spans="1:25" x14ac:dyDescent="0.3">
      <c r="A324" t="s">
        <v>285</v>
      </c>
      <c r="B324" t="str">
        <f t="shared" si="5"/>
        <v>Dec</v>
      </c>
      <c r="C324" t="s">
        <v>49</v>
      </c>
      <c r="D324" t="s">
        <v>50</v>
      </c>
      <c r="E324">
        <v>260946276411.28</v>
      </c>
      <c r="F324">
        <v>3903.45</v>
      </c>
      <c r="G324">
        <v>21165977881.419998</v>
      </c>
      <c r="H324">
        <v>8683542</v>
      </c>
      <c r="I324">
        <v>12509506</v>
      </c>
      <c r="J324">
        <v>13408832</v>
      </c>
      <c r="K324">
        <v>17.55</v>
      </c>
      <c r="L324">
        <v>2.83</v>
      </c>
      <c r="M324">
        <v>-7.76</v>
      </c>
      <c r="N324">
        <v>6.93</v>
      </c>
      <c r="O324">
        <v>127</v>
      </c>
      <c r="P324" t="s">
        <v>53</v>
      </c>
      <c r="Q324" t="s">
        <v>28</v>
      </c>
      <c r="R324" t="s">
        <v>29</v>
      </c>
      <c r="S324">
        <v>2017</v>
      </c>
      <c r="T324" t="s">
        <v>36</v>
      </c>
      <c r="U324">
        <v>58055</v>
      </c>
      <c r="V324">
        <v>49.85</v>
      </c>
      <c r="W324">
        <v>26.52</v>
      </c>
      <c r="X324">
        <v>12.4</v>
      </c>
      <c r="Y324">
        <v>16.899999999999999</v>
      </c>
    </row>
    <row r="325" spans="1:25" x14ac:dyDescent="0.3">
      <c r="A325" t="s">
        <v>236</v>
      </c>
      <c r="B325" t="str">
        <f t="shared" si="5"/>
        <v>Jan</v>
      </c>
      <c r="C325" t="s">
        <v>60</v>
      </c>
      <c r="D325" t="s">
        <v>61</v>
      </c>
      <c r="E325">
        <v>586016636515.06995</v>
      </c>
      <c r="F325">
        <v>65904.929999999993</v>
      </c>
      <c r="G325">
        <v>26730541184.790001</v>
      </c>
      <c r="H325">
        <v>13576719</v>
      </c>
      <c r="I325">
        <v>13723139</v>
      </c>
      <c r="J325">
        <v>13929737</v>
      </c>
      <c r="K325">
        <v>9.57</v>
      </c>
      <c r="L325">
        <v>0.56999999999999995</v>
      </c>
      <c r="M325">
        <v>-16.63</v>
      </c>
      <c r="N325">
        <v>-19.8</v>
      </c>
      <c r="O325">
        <v>39</v>
      </c>
      <c r="P325" t="s">
        <v>46</v>
      </c>
      <c r="Q325" t="s">
        <v>41</v>
      </c>
      <c r="R325" t="s">
        <v>35</v>
      </c>
      <c r="S325">
        <v>2014</v>
      </c>
      <c r="T325" t="s">
        <v>30</v>
      </c>
      <c r="U325">
        <v>1522</v>
      </c>
      <c r="V325">
        <v>56.81</v>
      </c>
      <c r="W325">
        <v>41.79</v>
      </c>
      <c r="X325">
        <v>70.94</v>
      </c>
      <c r="Y325">
        <v>56.09</v>
      </c>
    </row>
    <row r="326" spans="1:25" x14ac:dyDescent="0.3">
      <c r="A326" t="s">
        <v>286</v>
      </c>
      <c r="B326" t="str">
        <f t="shared" si="5"/>
        <v>Mar</v>
      </c>
      <c r="C326" t="s">
        <v>90</v>
      </c>
      <c r="D326" t="s">
        <v>91</v>
      </c>
      <c r="E326">
        <v>740106701870.79004</v>
      </c>
      <c r="F326">
        <v>10978.44</v>
      </c>
      <c r="G326">
        <v>33913706932</v>
      </c>
      <c r="H326">
        <v>4443006</v>
      </c>
      <c r="I326">
        <v>5512657</v>
      </c>
      <c r="J326">
        <v>5919247</v>
      </c>
      <c r="K326">
        <v>17.95</v>
      </c>
      <c r="L326">
        <v>-2.94</v>
      </c>
      <c r="M326">
        <v>12.7</v>
      </c>
      <c r="N326">
        <v>-35.159999999999997</v>
      </c>
      <c r="O326">
        <v>152</v>
      </c>
      <c r="P326" t="s">
        <v>53</v>
      </c>
      <c r="Q326" t="s">
        <v>57</v>
      </c>
      <c r="R326" t="s">
        <v>35</v>
      </c>
      <c r="S326">
        <v>2010</v>
      </c>
      <c r="T326" t="s">
        <v>30</v>
      </c>
      <c r="U326">
        <v>59429</v>
      </c>
      <c r="V326">
        <v>98.36</v>
      </c>
      <c r="W326">
        <v>41.77</v>
      </c>
      <c r="X326">
        <v>36.33</v>
      </c>
      <c r="Y326">
        <v>47.64</v>
      </c>
    </row>
    <row r="327" spans="1:25" x14ac:dyDescent="0.3">
      <c r="A327" t="s">
        <v>172</v>
      </c>
      <c r="B327" t="str">
        <f t="shared" si="5"/>
        <v>Aug</v>
      </c>
      <c r="C327" t="s">
        <v>60</v>
      </c>
      <c r="D327" t="s">
        <v>61</v>
      </c>
      <c r="E327">
        <v>591510479156.77002</v>
      </c>
      <c r="F327">
        <v>1503.53</v>
      </c>
      <c r="G327">
        <v>17329478812.93</v>
      </c>
      <c r="H327">
        <v>1904254</v>
      </c>
      <c r="I327">
        <v>4567453</v>
      </c>
      <c r="J327">
        <v>4846319</v>
      </c>
      <c r="K327">
        <v>9.17</v>
      </c>
      <c r="L327">
        <v>3.14</v>
      </c>
      <c r="M327">
        <v>4.3600000000000003</v>
      </c>
      <c r="N327">
        <v>-3.67</v>
      </c>
      <c r="O327">
        <v>67</v>
      </c>
      <c r="P327" t="s">
        <v>27</v>
      </c>
      <c r="Q327" t="s">
        <v>57</v>
      </c>
      <c r="R327" t="s">
        <v>74</v>
      </c>
      <c r="S327">
        <v>2014</v>
      </c>
      <c r="T327" t="s">
        <v>30</v>
      </c>
      <c r="U327">
        <v>41395</v>
      </c>
      <c r="V327">
        <v>77.03</v>
      </c>
      <c r="W327">
        <v>48.08</v>
      </c>
      <c r="X327">
        <v>33.61</v>
      </c>
      <c r="Y327">
        <v>45.54</v>
      </c>
    </row>
    <row r="328" spans="1:25" x14ac:dyDescent="0.3">
      <c r="A328" t="s">
        <v>271</v>
      </c>
      <c r="B328" t="str">
        <f t="shared" si="5"/>
        <v>May</v>
      </c>
      <c r="C328" t="s">
        <v>60</v>
      </c>
      <c r="D328" t="s">
        <v>61</v>
      </c>
      <c r="E328">
        <v>93736248346.850006</v>
      </c>
      <c r="F328">
        <v>26391.439999999999</v>
      </c>
      <c r="G328">
        <v>21844788853.099998</v>
      </c>
      <c r="H328">
        <v>9393398</v>
      </c>
      <c r="I328">
        <v>13982700</v>
      </c>
      <c r="J328">
        <v>14880903</v>
      </c>
      <c r="K328">
        <v>42.97</v>
      </c>
      <c r="L328">
        <v>2.92</v>
      </c>
      <c r="M328">
        <v>-13.07</v>
      </c>
      <c r="N328">
        <v>-36.28</v>
      </c>
      <c r="O328">
        <v>30</v>
      </c>
      <c r="P328" t="s">
        <v>53</v>
      </c>
      <c r="Q328" t="s">
        <v>28</v>
      </c>
      <c r="R328" t="s">
        <v>29</v>
      </c>
      <c r="S328">
        <v>2023</v>
      </c>
      <c r="T328" t="s">
        <v>30</v>
      </c>
      <c r="U328">
        <v>61940</v>
      </c>
      <c r="V328">
        <v>53.27</v>
      </c>
      <c r="W328">
        <v>90.41</v>
      </c>
      <c r="X328">
        <v>66.47</v>
      </c>
      <c r="Y328">
        <v>93.49</v>
      </c>
    </row>
    <row r="329" spans="1:25" x14ac:dyDescent="0.3">
      <c r="A329" t="s">
        <v>287</v>
      </c>
      <c r="B329" t="str">
        <f t="shared" si="5"/>
        <v>Jan</v>
      </c>
      <c r="C329" t="s">
        <v>68</v>
      </c>
      <c r="D329" t="s">
        <v>69</v>
      </c>
      <c r="E329">
        <v>329214357383.09003</v>
      </c>
      <c r="F329">
        <v>21213.24</v>
      </c>
      <c r="G329">
        <v>21661189040.169998</v>
      </c>
      <c r="H329">
        <v>5281475</v>
      </c>
      <c r="I329">
        <v>8687346</v>
      </c>
      <c r="J329">
        <v>8791139</v>
      </c>
      <c r="K329">
        <v>0.6</v>
      </c>
      <c r="L329">
        <v>0.77</v>
      </c>
      <c r="M329">
        <v>13.9</v>
      </c>
      <c r="N329">
        <v>39.51</v>
      </c>
      <c r="O329">
        <v>12</v>
      </c>
      <c r="P329" t="s">
        <v>46</v>
      </c>
      <c r="Q329" t="s">
        <v>34</v>
      </c>
      <c r="R329" t="s">
        <v>29</v>
      </c>
      <c r="S329">
        <v>2015</v>
      </c>
      <c r="T329" t="s">
        <v>36</v>
      </c>
      <c r="U329">
        <v>39767</v>
      </c>
      <c r="V329">
        <v>31.72</v>
      </c>
      <c r="W329">
        <v>89.64</v>
      </c>
      <c r="X329">
        <v>60.08</v>
      </c>
      <c r="Y329">
        <v>53.7</v>
      </c>
    </row>
    <row r="330" spans="1:25" x14ac:dyDescent="0.3">
      <c r="A330" t="s">
        <v>130</v>
      </c>
      <c r="B330" t="str">
        <f t="shared" si="5"/>
        <v>May</v>
      </c>
      <c r="C330" t="s">
        <v>55</v>
      </c>
      <c r="D330" t="s">
        <v>56</v>
      </c>
      <c r="E330">
        <v>543368460662.15997</v>
      </c>
      <c r="F330">
        <v>7597.57</v>
      </c>
      <c r="G330">
        <v>9310783604.9799995</v>
      </c>
      <c r="H330">
        <v>9987944</v>
      </c>
      <c r="I330">
        <v>11892483</v>
      </c>
      <c r="J330">
        <v>12762872</v>
      </c>
      <c r="K330">
        <v>5.91</v>
      </c>
      <c r="L330">
        <v>-0.62</v>
      </c>
      <c r="M330">
        <v>-9.66</v>
      </c>
      <c r="N330">
        <v>7.41</v>
      </c>
      <c r="O330">
        <v>8</v>
      </c>
      <c r="P330" t="s">
        <v>46</v>
      </c>
      <c r="Q330" t="s">
        <v>41</v>
      </c>
      <c r="R330" t="s">
        <v>29</v>
      </c>
      <c r="S330">
        <v>2011</v>
      </c>
      <c r="T330" t="s">
        <v>58</v>
      </c>
      <c r="U330">
        <v>62597</v>
      </c>
      <c r="V330">
        <v>29.39</v>
      </c>
      <c r="W330">
        <v>58.89</v>
      </c>
      <c r="X330">
        <v>87.94</v>
      </c>
      <c r="Y330">
        <v>54.17</v>
      </c>
    </row>
    <row r="331" spans="1:25" x14ac:dyDescent="0.3">
      <c r="A331" t="s">
        <v>288</v>
      </c>
      <c r="B331" t="str">
        <f t="shared" si="5"/>
        <v>Mar</v>
      </c>
      <c r="C331" t="s">
        <v>44</v>
      </c>
      <c r="D331" t="s">
        <v>45</v>
      </c>
      <c r="E331">
        <v>877900961514.40002</v>
      </c>
      <c r="F331">
        <v>25074.2</v>
      </c>
      <c r="G331">
        <v>45947346952.010002</v>
      </c>
      <c r="H331">
        <v>18237804</v>
      </c>
      <c r="I331">
        <v>19316818</v>
      </c>
      <c r="J331">
        <v>20034301</v>
      </c>
      <c r="K331">
        <v>11.84</v>
      </c>
      <c r="L331">
        <v>4.1500000000000004</v>
      </c>
      <c r="M331">
        <v>4.0999999999999996</v>
      </c>
      <c r="N331">
        <v>-33.72</v>
      </c>
      <c r="O331">
        <v>185</v>
      </c>
      <c r="P331" t="s">
        <v>27</v>
      </c>
      <c r="Q331" t="s">
        <v>57</v>
      </c>
      <c r="R331" t="s">
        <v>64</v>
      </c>
      <c r="S331">
        <v>2020</v>
      </c>
      <c r="T331" t="s">
        <v>36</v>
      </c>
      <c r="U331">
        <v>16396</v>
      </c>
      <c r="V331">
        <v>90.53</v>
      </c>
      <c r="W331">
        <v>42.26</v>
      </c>
      <c r="X331">
        <v>29.31</v>
      </c>
      <c r="Y331">
        <v>68.88</v>
      </c>
    </row>
    <row r="332" spans="1:25" x14ac:dyDescent="0.3">
      <c r="A332" t="s">
        <v>289</v>
      </c>
      <c r="B332" t="str">
        <f t="shared" si="5"/>
        <v>Jul</v>
      </c>
      <c r="C332" t="s">
        <v>25</v>
      </c>
      <c r="D332" t="s">
        <v>26</v>
      </c>
      <c r="E332">
        <v>197544764393.44</v>
      </c>
      <c r="F332">
        <v>36870.58</v>
      </c>
      <c r="G332">
        <v>45463904290.800003</v>
      </c>
      <c r="H332">
        <v>3165858</v>
      </c>
      <c r="I332">
        <v>7050628</v>
      </c>
      <c r="J332">
        <v>7955958</v>
      </c>
      <c r="K332">
        <v>17.36</v>
      </c>
      <c r="L332">
        <v>-4.55</v>
      </c>
      <c r="M332">
        <v>-15.05</v>
      </c>
      <c r="N332">
        <v>-32.69</v>
      </c>
      <c r="O332">
        <v>188</v>
      </c>
      <c r="P332" t="s">
        <v>53</v>
      </c>
      <c r="Q332" t="s">
        <v>47</v>
      </c>
      <c r="R332" t="s">
        <v>74</v>
      </c>
      <c r="S332">
        <v>2021</v>
      </c>
      <c r="T332" t="s">
        <v>30</v>
      </c>
      <c r="U332">
        <v>30697</v>
      </c>
      <c r="V332">
        <v>69.319999999999993</v>
      </c>
      <c r="W332">
        <v>73.73</v>
      </c>
      <c r="X332">
        <v>92.43</v>
      </c>
      <c r="Y332">
        <v>17.39</v>
      </c>
    </row>
    <row r="333" spans="1:25" x14ac:dyDescent="0.3">
      <c r="A333" t="s">
        <v>290</v>
      </c>
      <c r="B333" t="str">
        <f t="shared" si="5"/>
        <v>Mar</v>
      </c>
      <c r="C333" t="s">
        <v>44</v>
      </c>
      <c r="D333" t="s">
        <v>45</v>
      </c>
      <c r="E333">
        <v>795826854684.19995</v>
      </c>
      <c r="F333">
        <v>60820.65</v>
      </c>
      <c r="G333">
        <v>19480836597.93</v>
      </c>
      <c r="H333">
        <v>16034029</v>
      </c>
      <c r="I333">
        <v>17240009</v>
      </c>
      <c r="J333">
        <v>17353294</v>
      </c>
      <c r="K333">
        <v>40.159999999999997</v>
      </c>
      <c r="L333">
        <v>-0.36</v>
      </c>
      <c r="M333">
        <v>10.68</v>
      </c>
      <c r="N333">
        <v>22.64</v>
      </c>
      <c r="O333">
        <v>152</v>
      </c>
      <c r="P333" t="s">
        <v>51</v>
      </c>
      <c r="Q333" t="s">
        <v>57</v>
      </c>
      <c r="R333" t="s">
        <v>64</v>
      </c>
      <c r="S333">
        <v>2016</v>
      </c>
      <c r="T333" t="s">
        <v>36</v>
      </c>
      <c r="U333">
        <v>46425</v>
      </c>
      <c r="V333">
        <v>48.53</v>
      </c>
      <c r="W333">
        <v>79.98</v>
      </c>
      <c r="X333">
        <v>45.1</v>
      </c>
      <c r="Y333">
        <v>53.57</v>
      </c>
    </row>
    <row r="334" spans="1:25" x14ac:dyDescent="0.3">
      <c r="A334" t="s">
        <v>291</v>
      </c>
      <c r="B334" t="str">
        <f t="shared" si="5"/>
        <v>Nov</v>
      </c>
      <c r="C334" t="s">
        <v>90</v>
      </c>
      <c r="D334" t="s">
        <v>91</v>
      </c>
      <c r="E334">
        <v>863904493720.81995</v>
      </c>
      <c r="F334">
        <v>494.75</v>
      </c>
      <c r="G334">
        <v>18269485098.689999</v>
      </c>
      <c r="H334">
        <v>17339389</v>
      </c>
      <c r="I334">
        <v>21447822</v>
      </c>
      <c r="J334">
        <v>21829772</v>
      </c>
      <c r="K334">
        <v>14.04</v>
      </c>
      <c r="L334">
        <v>-1.9</v>
      </c>
      <c r="M334">
        <v>-1.1599999999999999</v>
      </c>
      <c r="N334">
        <v>-38.53</v>
      </c>
      <c r="O334">
        <v>98</v>
      </c>
      <c r="P334" t="s">
        <v>51</v>
      </c>
      <c r="Q334" t="s">
        <v>41</v>
      </c>
      <c r="R334" t="s">
        <v>64</v>
      </c>
      <c r="S334">
        <v>2015</v>
      </c>
      <c r="T334" t="s">
        <v>30</v>
      </c>
      <c r="U334">
        <v>10043</v>
      </c>
      <c r="V334">
        <v>29.51</v>
      </c>
      <c r="W334">
        <v>25.27</v>
      </c>
      <c r="X334">
        <v>56.87</v>
      </c>
      <c r="Y334">
        <v>30.39</v>
      </c>
    </row>
    <row r="335" spans="1:25" x14ac:dyDescent="0.3">
      <c r="A335" t="s">
        <v>88</v>
      </c>
      <c r="B335" t="str">
        <f t="shared" si="5"/>
        <v>Mar</v>
      </c>
      <c r="C335" t="s">
        <v>55</v>
      </c>
      <c r="D335" t="s">
        <v>56</v>
      </c>
      <c r="E335">
        <v>567960416247.60999</v>
      </c>
      <c r="F335">
        <v>64892.09</v>
      </c>
      <c r="G335">
        <v>27542057416.48</v>
      </c>
      <c r="H335">
        <v>4485002</v>
      </c>
      <c r="I335">
        <v>6750737</v>
      </c>
      <c r="J335">
        <v>7309708</v>
      </c>
      <c r="K335">
        <v>45.73</v>
      </c>
      <c r="L335">
        <v>7.0000000000000007E-2</v>
      </c>
      <c r="M335">
        <v>0.55000000000000004</v>
      </c>
      <c r="N335">
        <v>-29.72</v>
      </c>
      <c r="O335">
        <v>35</v>
      </c>
      <c r="P335" t="s">
        <v>46</v>
      </c>
      <c r="Q335" t="s">
        <v>41</v>
      </c>
      <c r="R335" t="s">
        <v>74</v>
      </c>
      <c r="S335">
        <v>2010</v>
      </c>
      <c r="T335" t="s">
        <v>58</v>
      </c>
      <c r="U335">
        <v>27578</v>
      </c>
      <c r="V335">
        <v>97.3</v>
      </c>
      <c r="W335">
        <v>88.89</v>
      </c>
      <c r="X335">
        <v>61.94</v>
      </c>
      <c r="Y335">
        <v>52.43</v>
      </c>
    </row>
    <row r="336" spans="1:25" x14ac:dyDescent="0.3">
      <c r="A336" t="s">
        <v>87</v>
      </c>
      <c r="B336" t="str">
        <f t="shared" si="5"/>
        <v>Jun</v>
      </c>
      <c r="C336" t="s">
        <v>55</v>
      </c>
      <c r="D336" t="s">
        <v>56</v>
      </c>
      <c r="E336">
        <v>285927495209.69</v>
      </c>
      <c r="F336">
        <v>29427.96</v>
      </c>
      <c r="G336">
        <v>23803616149.439999</v>
      </c>
      <c r="H336">
        <v>9666214</v>
      </c>
      <c r="I336">
        <v>14521329</v>
      </c>
      <c r="J336">
        <v>14611479</v>
      </c>
      <c r="K336">
        <v>51.56</v>
      </c>
      <c r="L336">
        <v>-4.8899999999999997</v>
      </c>
      <c r="M336">
        <v>-13.94</v>
      </c>
      <c r="N336">
        <v>-26.13</v>
      </c>
      <c r="O336">
        <v>152</v>
      </c>
      <c r="P336" t="s">
        <v>53</v>
      </c>
      <c r="Q336" t="s">
        <v>28</v>
      </c>
      <c r="R336" t="s">
        <v>64</v>
      </c>
      <c r="S336">
        <v>2016</v>
      </c>
      <c r="T336" t="s">
        <v>58</v>
      </c>
      <c r="U336">
        <v>39638</v>
      </c>
      <c r="V336">
        <v>19.57</v>
      </c>
      <c r="W336">
        <v>95.05</v>
      </c>
      <c r="X336">
        <v>72.08</v>
      </c>
      <c r="Y336">
        <v>50.78</v>
      </c>
    </row>
    <row r="337" spans="1:25" x14ac:dyDescent="0.3">
      <c r="A337" t="s">
        <v>86</v>
      </c>
      <c r="B337" t="str">
        <f t="shared" si="5"/>
        <v>Apr</v>
      </c>
      <c r="C337" t="s">
        <v>32</v>
      </c>
      <c r="D337" t="s">
        <v>33</v>
      </c>
      <c r="E337">
        <v>271671846626.89001</v>
      </c>
      <c r="F337">
        <v>53659.3</v>
      </c>
      <c r="G337">
        <v>27404153957.470001</v>
      </c>
      <c r="H337">
        <v>18588011</v>
      </c>
      <c r="I337">
        <v>21330678</v>
      </c>
      <c r="J337">
        <v>21761691</v>
      </c>
      <c r="K337">
        <v>49.06</v>
      </c>
      <c r="L337">
        <v>2.78</v>
      </c>
      <c r="M337">
        <v>-7.67</v>
      </c>
      <c r="N337">
        <v>-35.71</v>
      </c>
      <c r="O337">
        <v>10</v>
      </c>
      <c r="P337" t="s">
        <v>40</v>
      </c>
      <c r="Q337" t="s">
        <v>41</v>
      </c>
      <c r="R337" t="s">
        <v>74</v>
      </c>
      <c r="S337">
        <v>2019</v>
      </c>
      <c r="T337" t="s">
        <v>36</v>
      </c>
      <c r="U337">
        <v>64839</v>
      </c>
      <c r="V337">
        <v>77.930000000000007</v>
      </c>
      <c r="W337">
        <v>59.52</v>
      </c>
      <c r="X337">
        <v>77.83</v>
      </c>
      <c r="Y337">
        <v>13.7</v>
      </c>
    </row>
    <row r="338" spans="1:25" x14ac:dyDescent="0.3">
      <c r="A338" t="s">
        <v>255</v>
      </c>
      <c r="B338" t="str">
        <f t="shared" si="5"/>
        <v>Jun</v>
      </c>
      <c r="C338" t="s">
        <v>68</v>
      </c>
      <c r="D338" t="s">
        <v>69</v>
      </c>
      <c r="E338">
        <v>326723769981.57001</v>
      </c>
      <c r="F338">
        <v>42248.11</v>
      </c>
      <c r="G338">
        <v>20529298243.880001</v>
      </c>
      <c r="H338">
        <v>10619569</v>
      </c>
      <c r="I338">
        <v>10812891</v>
      </c>
      <c r="J338">
        <v>10958942</v>
      </c>
      <c r="K338">
        <v>6.07</v>
      </c>
      <c r="L338">
        <v>4.93</v>
      </c>
      <c r="M338">
        <v>18.07</v>
      </c>
      <c r="N338">
        <v>-30.8</v>
      </c>
      <c r="O338">
        <v>53</v>
      </c>
      <c r="P338" t="s">
        <v>51</v>
      </c>
      <c r="Q338" t="s">
        <v>28</v>
      </c>
      <c r="R338" t="s">
        <v>42</v>
      </c>
      <c r="S338">
        <v>2010</v>
      </c>
      <c r="T338" t="s">
        <v>36</v>
      </c>
      <c r="U338">
        <v>37540</v>
      </c>
      <c r="V338">
        <v>13.53</v>
      </c>
      <c r="W338">
        <v>59.67</v>
      </c>
      <c r="X338">
        <v>95.19</v>
      </c>
      <c r="Y338">
        <v>64.010000000000005</v>
      </c>
    </row>
    <row r="339" spans="1:25" x14ac:dyDescent="0.3">
      <c r="A339" t="s">
        <v>152</v>
      </c>
      <c r="B339" t="str">
        <f t="shared" si="5"/>
        <v>Dec</v>
      </c>
      <c r="C339" t="s">
        <v>25</v>
      </c>
      <c r="D339" t="s">
        <v>26</v>
      </c>
      <c r="E339">
        <v>299921790165.33002</v>
      </c>
      <c r="F339">
        <v>69690.94</v>
      </c>
      <c r="G339">
        <v>12708342820.700001</v>
      </c>
      <c r="H339">
        <v>13023054</v>
      </c>
      <c r="I339">
        <v>13687821</v>
      </c>
      <c r="J339">
        <v>13805649</v>
      </c>
      <c r="K339">
        <v>12.98</v>
      </c>
      <c r="L339">
        <v>-3.33</v>
      </c>
      <c r="M339">
        <v>5.61</v>
      </c>
      <c r="N339">
        <v>-18.34</v>
      </c>
      <c r="O339">
        <v>41</v>
      </c>
      <c r="P339" t="s">
        <v>51</v>
      </c>
      <c r="Q339" t="s">
        <v>28</v>
      </c>
      <c r="R339" t="s">
        <v>35</v>
      </c>
      <c r="S339">
        <v>2016</v>
      </c>
      <c r="T339" t="s">
        <v>30</v>
      </c>
      <c r="U339">
        <v>15817</v>
      </c>
      <c r="V339">
        <v>82.55</v>
      </c>
      <c r="W339">
        <v>25.95</v>
      </c>
      <c r="X339">
        <v>63.74</v>
      </c>
      <c r="Y339">
        <v>99.79</v>
      </c>
    </row>
    <row r="340" spans="1:25" x14ac:dyDescent="0.3">
      <c r="A340" t="s">
        <v>292</v>
      </c>
      <c r="B340" t="str">
        <f t="shared" si="5"/>
        <v>Mar</v>
      </c>
      <c r="C340" t="s">
        <v>90</v>
      </c>
      <c r="D340" t="s">
        <v>91</v>
      </c>
      <c r="E340">
        <v>269541652148.10999</v>
      </c>
      <c r="F340">
        <v>38307.160000000003</v>
      </c>
      <c r="G340">
        <v>23464009776.779999</v>
      </c>
      <c r="H340">
        <v>6683259</v>
      </c>
      <c r="I340">
        <v>9042696</v>
      </c>
      <c r="J340">
        <v>9743152</v>
      </c>
      <c r="K340">
        <v>13.36</v>
      </c>
      <c r="L340">
        <v>-3.61</v>
      </c>
      <c r="M340">
        <v>9.7899999999999991</v>
      </c>
      <c r="N340">
        <v>-24.87</v>
      </c>
      <c r="O340">
        <v>53</v>
      </c>
      <c r="P340" t="s">
        <v>53</v>
      </c>
      <c r="Q340" t="s">
        <v>34</v>
      </c>
      <c r="R340" t="s">
        <v>35</v>
      </c>
      <c r="S340">
        <v>2010</v>
      </c>
      <c r="T340" t="s">
        <v>30</v>
      </c>
      <c r="U340">
        <v>26474</v>
      </c>
      <c r="V340">
        <v>93.55</v>
      </c>
      <c r="W340">
        <v>33.700000000000003</v>
      </c>
      <c r="X340">
        <v>36.96</v>
      </c>
      <c r="Y340">
        <v>80.13</v>
      </c>
    </row>
    <row r="341" spans="1:25" x14ac:dyDescent="0.3">
      <c r="A341" t="s">
        <v>224</v>
      </c>
      <c r="B341" t="str">
        <f t="shared" si="5"/>
        <v>Jun</v>
      </c>
      <c r="C341" t="s">
        <v>44</v>
      </c>
      <c r="D341" t="s">
        <v>45</v>
      </c>
      <c r="E341">
        <v>660090546058.29004</v>
      </c>
      <c r="F341">
        <v>45913.81</v>
      </c>
      <c r="G341">
        <v>33512941118.330002</v>
      </c>
      <c r="H341">
        <v>10999484</v>
      </c>
      <c r="I341">
        <v>12967782</v>
      </c>
      <c r="J341">
        <v>13121253</v>
      </c>
      <c r="K341">
        <v>47.9</v>
      </c>
      <c r="L341">
        <v>1.37</v>
      </c>
      <c r="M341">
        <v>19.420000000000002</v>
      </c>
      <c r="N341">
        <v>2.92</v>
      </c>
      <c r="O341">
        <v>106</v>
      </c>
      <c r="P341" t="s">
        <v>53</v>
      </c>
      <c r="Q341" t="s">
        <v>28</v>
      </c>
      <c r="R341" t="s">
        <v>35</v>
      </c>
      <c r="S341">
        <v>2012</v>
      </c>
      <c r="T341" t="s">
        <v>36</v>
      </c>
      <c r="U341">
        <v>8208</v>
      </c>
      <c r="V341">
        <v>86.45</v>
      </c>
      <c r="W341">
        <v>59.86</v>
      </c>
      <c r="X341">
        <v>76.28</v>
      </c>
      <c r="Y341">
        <v>39.6</v>
      </c>
    </row>
    <row r="342" spans="1:25" x14ac:dyDescent="0.3">
      <c r="A342" t="s">
        <v>82</v>
      </c>
      <c r="B342" t="str">
        <f t="shared" si="5"/>
        <v>Jun</v>
      </c>
      <c r="C342" t="s">
        <v>25</v>
      </c>
      <c r="D342" t="s">
        <v>26</v>
      </c>
      <c r="E342">
        <v>675831529795.65002</v>
      </c>
      <c r="F342">
        <v>40744.269999999997</v>
      </c>
      <c r="G342">
        <v>47605751179.099998</v>
      </c>
      <c r="H342">
        <v>13837254</v>
      </c>
      <c r="I342">
        <v>17775089</v>
      </c>
      <c r="J342">
        <v>17945765</v>
      </c>
      <c r="K342">
        <v>0.79</v>
      </c>
      <c r="L342">
        <v>-1.04</v>
      </c>
      <c r="M342">
        <v>-7.33</v>
      </c>
      <c r="N342">
        <v>18.059999999999999</v>
      </c>
      <c r="O342">
        <v>43</v>
      </c>
      <c r="P342" t="s">
        <v>40</v>
      </c>
      <c r="Q342" t="s">
        <v>34</v>
      </c>
      <c r="R342" t="s">
        <v>74</v>
      </c>
      <c r="S342">
        <v>2012</v>
      </c>
      <c r="T342" t="s">
        <v>30</v>
      </c>
      <c r="U342">
        <v>41259</v>
      </c>
      <c r="V342">
        <v>20.190000000000001</v>
      </c>
      <c r="W342">
        <v>46.84</v>
      </c>
      <c r="X342">
        <v>47.77</v>
      </c>
      <c r="Y342">
        <v>46.14</v>
      </c>
    </row>
    <row r="343" spans="1:25" x14ac:dyDescent="0.3">
      <c r="A343" t="s">
        <v>293</v>
      </c>
      <c r="B343" t="str">
        <f t="shared" si="5"/>
        <v>Aug</v>
      </c>
      <c r="C343" t="s">
        <v>60</v>
      </c>
      <c r="D343" t="s">
        <v>61</v>
      </c>
      <c r="E343">
        <v>514769069302.38</v>
      </c>
      <c r="F343">
        <v>1933.28</v>
      </c>
      <c r="G343">
        <v>44687281716.75</v>
      </c>
      <c r="H343">
        <v>11162890</v>
      </c>
      <c r="I343">
        <v>12405441</v>
      </c>
      <c r="J343">
        <v>13103887</v>
      </c>
      <c r="K343">
        <v>42.97</v>
      </c>
      <c r="L343">
        <v>0.09</v>
      </c>
      <c r="M343">
        <v>15.9</v>
      </c>
      <c r="N343">
        <v>-25.94</v>
      </c>
      <c r="O343">
        <v>112</v>
      </c>
      <c r="P343" t="s">
        <v>46</v>
      </c>
      <c r="Q343" t="s">
        <v>34</v>
      </c>
      <c r="R343" t="s">
        <v>64</v>
      </c>
      <c r="S343">
        <v>2012</v>
      </c>
      <c r="T343" t="s">
        <v>30</v>
      </c>
      <c r="U343">
        <v>18264</v>
      </c>
      <c r="V343">
        <v>91.74</v>
      </c>
      <c r="W343">
        <v>56.73</v>
      </c>
      <c r="X343">
        <v>43.88</v>
      </c>
      <c r="Y343">
        <v>70.2</v>
      </c>
    </row>
    <row r="344" spans="1:25" x14ac:dyDescent="0.3">
      <c r="A344" t="s">
        <v>270</v>
      </c>
      <c r="B344" t="str">
        <f t="shared" si="5"/>
        <v>May</v>
      </c>
      <c r="C344" t="s">
        <v>60</v>
      </c>
      <c r="D344" t="s">
        <v>61</v>
      </c>
      <c r="E344">
        <v>640682892904.29004</v>
      </c>
      <c r="F344">
        <v>35116.199999999997</v>
      </c>
      <c r="G344">
        <v>16558944041.24</v>
      </c>
      <c r="H344">
        <v>9429365</v>
      </c>
      <c r="I344">
        <v>10310443</v>
      </c>
      <c r="J344">
        <v>10519329</v>
      </c>
      <c r="K344">
        <v>23.85</v>
      </c>
      <c r="L344">
        <v>4.6100000000000003</v>
      </c>
      <c r="M344">
        <v>5.8</v>
      </c>
      <c r="N344">
        <v>-13.58</v>
      </c>
      <c r="O344">
        <v>118</v>
      </c>
      <c r="P344" t="s">
        <v>51</v>
      </c>
      <c r="Q344" t="s">
        <v>28</v>
      </c>
      <c r="R344" t="s">
        <v>35</v>
      </c>
      <c r="S344">
        <v>2019</v>
      </c>
      <c r="T344" t="s">
        <v>30</v>
      </c>
      <c r="U344">
        <v>19449</v>
      </c>
      <c r="V344">
        <v>17.649999999999999</v>
      </c>
      <c r="W344">
        <v>22.55</v>
      </c>
      <c r="X344">
        <v>38.79</v>
      </c>
      <c r="Y344">
        <v>59.91</v>
      </c>
    </row>
    <row r="345" spans="1:25" x14ac:dyDescent="0.3">
      <c r="A345" t="s">
        <v>294</v>
      </c>
      <c r="B345" t="str">
        <f t="shared" si="5"/>
        <v>Jun</v>
      </c>
      <c r="C345" t="s">
        <v>78</v>
      </c>
      <c r="D345" t="s">
        <v>79</v>
      </c>
      <c r="E345">
        <v>236869710379.79001</v>
      </c>
      <c r="F345">
        <v>34983.86</v>
      </c>
      <c r="G345">
        <v>36428446486.139999</v>
      </c>
      <c r="H345">
        <v>13933378</v>
      </c>
      <c r="I345">
        <v>18487266</v>
      </c>
      <c r="J345">
        <v>19443717</v>
      </c>
      <c r="K345">
        <v>14.35</v>
      </c>
      <c r="L345">
        <v>1.95</v>
      </c>
      <c r="M345">
        <v>-9.33</v>
      </c>
      <c r="N345">
        <v>-3.51</v>
      </c>
      <c r="O345">
        <v>58</v>
      </c>
      <c r="P345" t="s">
        <v>46</v>
      </c>
      <c r="Q345" t="s">
        <v>47</v>
      </c>
      <c r="R345" t="s">
        <v>74</v>
      </c>
      <c r="S345">
        <v>2012</v>
      </c>
      <c r="T345" t="s">
        <v>36</v>
      </c>
      <c r="U345">
        <v>8034</v>
      </c>
      <c r="V345">
        <v>46.9</v>
      </c>
      <c r="W345">
        <v>67.62</v>
      </c>
      <c r="X345">
        <v>45.7</v>
      </c>
      <c r="Y345">
        <v>70.09</v>
      </c>
    </row>
    <row r="346" spans="1:25" x14ac:dyDescent="0.3">
      <c r="A346" t="s">
        <v>295</v>
      </c>
      <c r="B346" t="str">
        <f t="shared" si="5"/>
        <v>Sep</v>
      </c>
      <c r="C346" t="s">
        <v>38</v>
      </c>
      <c r="D346" t="s">
        <v>39</v>
      </c>
      <c r="E346">
        <v>539140290192.75</v>
      </c>
      <c r="F346">
        <v>62698.17</v>
      </c>
      <c r="G346">
        <v>5779442969.8199997</v>
      </c>
      <c r="H346">
        <v>8076066</v>
      </c>
      <c r="I346">
        <v>9925772</v>
      </c>
      <c r="J346">
        <v>10298165</v>
      </c>
      <c r="K346">
        <v>36.979999999999997</v>
      </c>
      <c r="L346">
        <v>-4.45</v>
      </c>
      <c r="M346">
        <v>0.76</v>
      </c>
      <c r="N346">
        <v>-34.46</v>
      </c>
      <c r="O346">
        <v>3</v>
      </c>
      <c r="P346" t="s">
        <v>53</v>
      </c>
      <c r="Q346" t="s">
        <v>41</v>
      </c>
      <c r="R346" t="s">
        <v>74</v>
      </c>
      <c r="S346">
        <v>2013</v>
      </c>
      <c r="T346" t="s">
        <v>36</v>
      </c>
      <c r="U346">
        <v>38050</v>
      </c>
      <c r="V346">
        <v>27.32</v>
      </c>
      <c r="W346">
        <v>48.38</v>
      </c>
      <c r="X346">
        <v>62.8</v>
      </c>
      <c r="Y346">
        <v>49.89</v>
      </c>
    </row>
    <row r="347" spans="1:25" x14ac:dyDescent="0.3">
      <c r="A347" t="s">
        <v>72</v>
      </c>
      <c r="B347" t="str">
        <f t="shared" si="5"/>
        <v>May</v>
      </c>
      <c r="C347" t="s">
        <v>25</v>
      </c>
      <c r="D347" t="s">
        <v>26</v>
      </c>
      <c r="E347">
        <v>282946311769.34998</v>
      </c>
      <c r="F347">
        <v>33517.230000000003</v>
      </c>
      <c r="G347">
        <v>43796003590.870003</v>
      </c>
      <c r="H347">
        <v>6401887</v>
      </c>
      <c r="I347">
        <v>7473723</v>
      </c>
      <c r="J347">
        <v>8460601</v>
      </c>
      <c r="K347">
        <v>51.91</v>
      </c>
      <c r="L347">
        <v>-3.89</v>
      </c>
      <c r="M347">
        <v>4.5199999999999996</v>
      </c>
      <c r="N347">
        <v>-0.12</v>
      </c>
      <c r="O347">
        <v>174</v>
      </c>
      <c r="P347" t="s">
        <v>27</v>
      </c>
      <c r="Q347" t="s">
        <v>34</v>
      </c>
      <c r="R347" t="s">
        <v>42</v>
      </c>
      <c r="S347">
        <v>2019</v>
      </c>
      <c r="T347" t="s">
        <v>30</v>
      </c>
      <c r="U347">
        <v>5463</v>
      </c>
      <c r="V347">
        <v>49.81</v>
      </c>
      <c r="W347">
        <v>85.28</v>
      </c>
      <c r="X347">
        <v>58.11</v>
      </c>
      <c r="Y347">
        <v>86.69</v>
      </c>
    </row>
    <row r="348" spans="1:25" x14ac:dyDescent="0.3">
      <c r="A348" t="s">
        <v>274</v>
      </c>
      <c r="B348" t="str">
        <f t="shared" si="5"/>
        <v>Jan</v>
      </c>
      <c r="C348" t="s">
        <v>90</v>
      </c>
      <c r="D348" t="s">
        <v>91</v>
      </c>
      <c r="E348">
        <v>247014570920.88</v>
      </c>
      <c r="F348">
        <v>17774.2</v>
      </c>
      <c r="G348">
        <v>46894053324.529999</v>
      </c>
      <c r="H348">
        <v>6431368</v>
      </c>
      <c r="I348">
        <v>8939766</v>
      </c>
      <c r="J348">
        <v>9199827</v>
      </c>
      <c r="K348">
        <v>25.87</v>
      </c>
      <c r="L348">
        <v>0.06</v>
      </c>
      <c r="M348">
        <v>10.96</v>
      </c>
      <c r="N348">
        <v>30.08</v>
      </c>
      <c r="O348">
        <v>186</v>
      </c>
      <c r="P348" t="s">
        <v>46</v>
      </c>
      <c r="Q348" t="s">
        <v>47</v>
      </c>
      <c r="R348" t="s">
        <v>64</v>
      </c>
      <c r="S348">
        <v>2019</v>
      </c>
      <c r="T348" t="s">
        <v>30</v>
      </c>
      <c r="U348">
        <v>12567</v>
      </c>
      <c r="V348">
        <v>84.55</v>
      </c>
      <c r="W348">
        <v>27.63</v>
      </c>
      <c r="X348">
        <v>74.260000000000005</v>
      </c>
      <c r="Y348">
        <v>51.35</v>
      </c>
    </row>
    <row r="349" spans="1:25" x14ac:dyDescent="0.3">
      <c r="A349" t="s">
        <v>296</v>
      </c>
      <c r="B349" t="str">
        <f t="shared" si="5"/>
        <v>Jan</v>
      </c>
      <c r="C349" t="s">
        <v>68</v>
      </c>
      <c r="D349" t="s">
        <v>69</v>
      </c>
      <c r="E349">
        <v>198920919056.20001</v>
      </c>
      <c r="F349">
        <v>65008.54</v>
      </c>
      <c r="G349">
        <v>46208766252</v>
      </c>
      <c r="H349">
        <v>15454663</v>
      </c>
      <c r="I349">
        <v>19297492</v>
      </c>
      <c r="J349">
        <v>20169045</v>
      </c>
      <c r="K349">
        <v>46.02</v>
      </c>
      <c r="L349">
        <v>-1.89</v>
      </c>
      <c r="M349">
        <v>-2.2000000000000002</v>
      </c>
      <c r="N349">
        <v>-36.5</v>
      </c>
      <c r="O349">
        <v>185</v>
      </c>
      <c r="P349" t="s">
        <v>40</v>
      </c>
      <c r="Q349" t="s">
        <v>34</v>
      </c>
      <c r="R349" t="s">
        <v>74</v>
      </c>
      <c r="S349">
        <v>2017</v>
      </c>
      <c r="T349" t="s">
        <v>36</v>
      </c>
      <c r="U349">
        <v>14205</v>
      </c>
      <c r="V349">
        <v>26.47</v>
      </c>
      <c r="W349">
        <v>47.07</v>
      </c>
      <c r="X349">
        <v>67.900000000000006</v>
      </c>
      <c r="Y349">
        <v>44.94</v>
      </c>
    </row>
    <row r="350" spans="1:25" x14ac:dyDescent="0.3">
      <c r="A350" t="s">
        <v>114</v>
      </c>
      <c r="B350" t="str">
        <f t="shared" si="5"/>
        <v>Jan</v>
      </c>
      <c r="C350" t="s">
        <v>60</v>
      </c>
      <c r="D350" t="s">
        <v>61</v>
      </c>
      <c r="E350">
        <v>353273392115.53998</v>
      </c>
      <c r="F350">
        <v>68317.53</v>
      </c>
      <c r="G350">
        <v>28032578432.799999</v>
      </c>
      <c r="H350">
        <v>7302280</v>
      </c>
      <c r="I350">
        <v>9512237</v>
      </c>
      <c r="J350">
        <v>10238442</v>
      </c>
      <c r="K350">
        <v>59.28</v>
      </c>
      <c r="L350">
        <v>-1.39</v>
      </c>
      <c r="M350">
        <v>11.39</v>
      </c>
      <c r="N350">
        <v>-4.37</v>
      </c>
      <c r="O350">
        <v>34</v>
      </c>
      <c r="P350" t="s">
        <v>51</v>
      </c>
      <c r="Q350" t="s">
        <v>47</v>
      </c>
      <c r="R350" t="s">
        <v>29</v>
      </c>
      <c r="S350">
        <v>2016</v>
      </c>
      <c r="T350" t="s">
        <v>30</v>
      </c>
      <c r="U350">
        <v>14397</v>
      </c>
      <c r="V350">
        <v>61.54</v>
      </c>
      <c r="W350">
        <v>79.510000000000005</v>
      </c>
      <c r="X350">
        <v>65.150000000000006</v>
      </c>
      <c r="Y350">
        <v>62.04</v>
      </c>
    </row>
    <row r="351" spans="1:25" x14ac:dyDescent="0.3">
      <c r="A351" t="s">
        <v>219</v>
      </c>
      <c r="B351" t="str">
        <f t="shared" si="5"/>
        <v>Jan</v>
      </c>
      <c r="C351" t="s">
        <v>90</v>
      </c>
      <c r="D351" t="s">
        <v>91</v>
      </c>
      <c r="E351">
        <v>20641848420.130001</v>
      </c>
      <c r="F351">
        <v>27132.69</v>
      </c>
      <c r="G351">
        <v>7615877063.3100004</v>
      </c>
      <c r="H351">
        <v>3335189</v>
      </c>
      <c r="I351">
        <v>4715451</v>
      </c>
      <c r="J351">
        <v>5446888</v>
      </c>
      <c r="K351">
        <v>23.28</v>
      </c>
      <c r="L351">
        <v>0.18</v>
      </c>
      <c r="M351">
        <v>-1.95</v>
      </c>
      <c r="N351">
        <v>18.07</v>
      </c>
      <c r="O351">
        <v>131</v>
      </c>
      <c r="P351" t="s">
        <v>27</v>
      </c>
      <c r="Q351" t="s">
        <v>34</v>
      </c>
      <c r="R351" t="s">
        <v>42</v>
      </c>
      <c r="S351">
        <v>2012</v>
      </c>
      <c r="T351" t="s">
        <v>30</v>
      </c>
      <c r="U351">
        <v>6574</v>
      </c>
      <c r="V351">
        <v>15.35</v>
      </c>
      <c r="W351">
        <v>45.42</v>
      </c>
      <c r="X351">
        <v>30.71</v>
      </c>
      <c r="Y351">
        <v>57.29</v>
      </c>
    </row>
    <row r="352" spans="1:25" x14ac:dyDescent="0.3">
      <c r="A352" t="s">
        <v>93</v>
      </c>
      <c r="B352" t="str">
        <f t="shared" si="5"/>
        <v>Jan</v>
      </c>
      <c r="C352" t="s">
        <v>49</v>
      </c>
      <c r="D352" t="s">
        <v>50</v>
      </c>
      <c r="E352">
        <v>559660822546.16003</v>
      </c>
      <c r="F352">
        <v>62232.33</v>
      </c>
      <c r="G352">
        <v>43778707055.300003</v>
      </c>
      <c r="H352">
        <v>14964030</v>
      </c>
      <c r="I352">
        <v>18486470</v>
      </c>
      <c r="J352">
        <v>18754405</v>
      </c>
      <c r="K352">
        <v>8.8800000000000008</v>
      </c>
      <c r="L352">
        <v>-1.61</v>
      </c>
      <c r="M352">
        <v>3.5</v>
      </c>
      <c r="N352">
        <v>-9.01</v>
      </c>
      <c r="O352">
        <v>121</v>
      </c>
      <c r="P352" t="s">
        <v>40</v>
      </c>
      <c r="Q352" t="s">
        <v>34</v>
      </c>
      <c r="R352" t="s">
        <v>29</v>
      </c>
      <c r="S352">
        <v>2017</v>
      </c>
      <c r="T352" t="s">
        <v>36</v>
      </c>
      <c r="U352">
        <v>55258</v>
      </c>
      <c r="V352">
        <v>66.63</v>
      </c>
      <c r="W352">
        <v>82.38</v>
      </c>
      <c r="X352">
        <v>40.590000000000003</v>
      </c>
      <c r="Y352">
        <v>45.82</v>
      </c>
    </row>
    <row r="353" spans="1:25" x14ac:dyDescent="0.3">
      <c r="A353" t="s">
        <v>244</v>
      </c>
      <c r="B353" t="str">
        <f t="shared" si="5"/>
        <v>Jun</v>
      </c>
      <c r="C353" t="s">
        <v>68</v>
      </c>
      <c r="D353" t="s">
        <v>69</v>
      </c>
      <c r="E353">
        <v>755850926589.08997</v>
      </c>
      <c r="F353">
        <v>59696.71</v>
      </c>
      <c r="G353">
        <v>28679808417.610001</v>
      </c>
      <c r="H353">
        <v>5722309</v>
      </c>
      <c r="I353">
        <v>7485522</v>
      </c>
      <c r="J353">
        <v>7519661</v>
      </c>
      <c r="K353">
        <v>51.66</v>
      </c>
      <c r="L353">
        <v>4.09</v>
      </c>
      <c r="M353">
        <v>-7.29</v>
      </c>
      <c r="N353">
        <v>22.67</v>
      </c>
      <c r="O353">
        <v>66</v>
      </c>
      <c r="P353" t="s">
        <v>51</v>
      </c>
      <c r="Q353" t="s">
        <v>57</v>
      </c>
      <c r="R353" t="s">
        <v>42</v>
      </c>
      <c r="S353">
        <v>2014</v>
      </c>
      <c r="T353" t="s">
        <v>36</v>
      </c>
      <c r="U353">
        <v>41183</v>
      </c>
      <c r="V353">
        <v>87.47</v>
      </c>
      <c r="W353">
        <v>48.85</v>
      </c>
      <c r="X353">
        <v>46.49</v>
      </c>
      <c r="Y353">
        <v>50.8</v>
      </c>
    </row>
    <row r="354" spans="1:25" x14ac:dyDescent="0.3">
      <c r="A354" t="s">
        <v>297</v>
      </c>
      <c r="B354" t="str">
        <f t="shared" si="5"/>
        <v>Aug</v>
      </c>
      <c r="C354" t="s">
        <v>60</v>
      </c>
      <c r="D354" t="s">
        <v>61</v>
      </c>
      <c r="E354">
        <v>690417178990.43005</v>
      </c>
      <c r="F354">
        <v>45397.81</v>
      </c>
      <c r="G354">
        <v>18568442885</v>
      </c>
      <c r="H354">
        <v>15930524</v>
      </c>
      <c r="I354">
        <v>16085458</v>
      </c>
      <c r="J354">
        <v>16248013</v>
      </c>
      <c r="K354">
        <v>48.6</v>
      </c>
      <c r="L354">
        <v>-3.43</v>
      </c>
      <c r="M354">
        <v>-12.97</v>
      </c>
      <c r="N354">
        <v>-16.86</v>
      </c>
      <c r="O354">
        <v>191</v>
      </c>
      <c r="P354" t="s">
        <v>27</v>
      </c>
      <c r="Q354" t="s">
        <v>47</v>
      </c>
      <c r="R354" t="s">
        <v>74</v>
      </c>
      <c r="S354">
        <v>2017</v>
      </c>
      <c r="T354" t="s">
        <v>30</v>
      </c>
      <c r="U354">
        <v>44102</v>
      </c>
      <c r="V354">
        <v>55.62</v>
      </c>
      <c r="W354">
        <v>20.23</v>
      </c>
      <c r="X354">
        <v>20.73</v>
      </c>
      <c r="Y354">
        <v>58.63</v>
      </c>
    </row>
    <row r="355" spans="1:25" x14ac:dyDescent="0.3">
      <c r="A355" t="s">
        <v>62</v>
      </c>
      <c r="B355" t="str">
        <f t="shared" si="5"/>
        <v>May</v>
      </c>
      <c r="C355" t="s">
        <v>68</v>
      </c>
      <c r="D355" t="s">
        <v>69</v>
      </c>
      <c r="E355">
        <v>145711411904.92999</v>
      </c>
      <c r="F355">
        <v>14316.65</v>
      </c>
      <c r="G355">
        <v>23485219021.799999</v>
      </c>
      <c r="H355">
        <v>7217669</v>
      </c>
      <c r="I355">
        <v>8574429</v>
      </c>
      <c r="J355">
        <v>8656243</v>
      </c>
      <c r="K355">
        <v>2.5099999999999998</v>
      </c>
      <c r="L355">
        <v>-4.8600000000000003</v>
      </c>
      <c r="M355">
        <v>-4.33</v>
      </c>
      <c r="N355">
        <v>-26.29</v>
      </c>
      <c r="O355">
        <v>149</v>
      </c>
      <c r="P355" t="s">
        <v>51</v>
      </c>
      <c r="Q355" t="s">
        <v>47</v>
      </c>
      <c r="R355" t="s">
        <v>74</v>
      </c>
      <c r="S355">
        <v>2015</v>
      </c>
      <c r="T355" t="s">
        <v>36</v>
      </c>
      <c r="U355">
        <v>520</v>
      </c>
      <c r="V355">
        <v>32.69</v>
      </c>
      <c r="W355">
        <v>56.06</v>
      </c>
      <c r="X355">
        <v>37.44</v>
      </c>
      <c r="Y355">
        <v>12.24</v>
      </c>
    </row>
    <row r="356" spans="1:25" x14ac:dyDescent="0.3">
      <c r="A356" t="s">
        <v>298</v>
      </c>
      <c r="B356" t="str">
        <f t="shared" si="5"/>
        <v>Jan</v>
      </c>
      <c r="C356" t="s">
        <v>44</v>
      </c>
      <c r="D356" t="s">
        <v>45</v>
      </c>
      <c r="E356">
        <v>488660932350.07001</v>
      </c>
      <c r="F356">
        <v>2738.42</v>
      </c>
      <c r="G356">
        <v>34920490326.889999</v>
      </c>
      <c r="H356">
        <v>15742272</v>
      </c>
      <c r="I356">
        <v>20431002</v>
      </c>
      <c r="J356">
        <v>21075558</v>
      </c>
      <c r="K356">
        <v>45.73</v>
      </c>
      <c r="L356">
        <v>4.25</v>
      </c>
      <c r="M356">
        <v>-1.43</v>
      </c>
      <c r="N356">
        <v>29.07</v>
      </c>
      <c r="O356">
        <v>68</v>
      </c>
      <c r="P356" t="s">
        <v>27</v>
      </c>
      <c r="Q356" t="s">
        <v>28</v>
      </c>
      <c r="R356" t="s">
        <v>74</v>
      </c>
      <c r="S356">
        <v>2022</v>
      </c>
      <c r="T356" t="s">
        <v>36</v>
      </c>
      <c r="U356">
        <v>2724</v>
      </c>
      <c r="V356">
        <v>94.69</v>
      </c>
      <c r="W356">
        <v>53.83</v>
      </c>
      <c r="X356">
        <v>35.369999999999997</v>
      </c>
      <c r="Y356">
        <v>44.21</v>
      </c>
    </row>
    <row r="357" spans="1:25" x14ac:dyDescent="0.3">
      <c r="A357" t="s">
        <v>299</v>
      </c>
      <c r="B357" t="str">
        <f t="shared" si="5"/>
        <v>Nov</v>
      </c>
      <c r="C357" t="s">
        <v>49</v>
      </c>
      <c r="D357" t="s">
        <v>50</v>
      </c>
      <c r="E357">
        <v>885446495987.39001</v>
      </c>
      <c r="F357">
        <v>48052.25</v>
      </c>
      <c r="G357">
        <v>4286179763.1100001</v>
      </c>
      <c r="H357">
        <v>9440569</v>
      </c>
      <c r="I357">
        <v>14397727</v>
      </c>
      <c r="J357">
        <v>14693014</v>
      </c>
      <c r="K357">
        <v>6.27</v>
      </c>
      <c r="L357">
        <v>-0.55000000000000004</v>
      </c>
      <c r="M357">
        <v>-2.95</v>
      </c>
      <c r="N357">
        <v>-31.52</v>
      </c>
      <c r="O357">
        <v>144</v>
      </c>
      <c r="P357" t="s">
        <v>51</v>
      </c>
      <c r="Q357" t="s">
        <v>34</v>
      </c>
      <c r="R357" t="s">
        <v>35</v>
      </c>
      <c r="S357">
        <v>2019</v>
      </c>
      <c r="T357" t="s">
        <v>36</v>
      </c>
      <c r="U357">
        <v>56603</v>
      </c>
      <c r="V357">
        <v>67.58</v>
      </c>
      <c r="W357">
        <v>33.9</v>
      </c>
      <c r="X357">
        <v>21.85</v>
      </c>
      <c r="Y357">
        <v>64.97</v>
      </c>
    </row>
    <row r="358" spans="1:25" x14ac:dyDescent="0.3">
      <c r="A358" t="s">
        <v>300</v>
      </c>
      <c r="B358" t="str">
        <f t="shared" si="5"/>
        <v>Nov</v>
      </c>
      <c r="C358" t="s">
        <v>44</v>
      </c>
      <c r="D358" t="s">
        <v>45</v>
      </c>
      <c r="E358">
        <v>30654340919.130001</v>
      </c>
      <c r="F358">
        <v>37682.25</v>
      </c>
      <c r="G358">
        <v>31219189128.150002</v>
      </c>
      <c r="H358">
        <v>16051661</v>
      </c>
      <c r="I358">
        <v>17544212</v>
      </c>
      <c r="J358">
        <v>18227883</v>
      </c>
      <c r="K358">
        <v>10.5</v>
      </c>
      <c r="L358">
        <v>-1.7</v>
      </c>
      <c r="M358">
        <v>-13.68</v>
      </c>
      <c r="N358">
        <v>31.53</v>
      </c>
      <c r="O358">
        <v>5</v>
      </c>
      <c r="P358" t="s">
        <v>46</v>
      </c>
      <c r="Q358" t="s">
        <v>41</v>
      </c>
      <c r="R358" t="s">
        <v>64</v>
      </c>
      <c r="S358">
        <v>2015</v>
      </c>
      <c r="T358" t="s">
        <v>36</v>
      </c>
      <c r="U358">
        <v>58444</v>
      </c>
      <c r="V358">
        <v>87.37</v>
      </c>
      <c r="W358">
        <v>25.01</v>
      </c>
      <c r="X358">
        <v>68.84</v>
      </c>
      <c r="Y358">
        <v>56.37</v>
      </c>
    </row>
    <row r="359" spans="1:25" x14ac:dyDescent="0.3">
      <c r="A359" t="s">
        <v>181</v>
      </c>
      <c r="B359" t="str">
        <f t="shared" si="5"/>
        <v>Dec</v>
      </c>
      <c r="C359" t="s">
        <v>44</v>
      </c>
      <c r="D359" t="s">
        <v>45</v>
      </c>
      <c r="E359">
        <v>100255899755.61</v>
      </c>
      <c r="F359">
        <v>31134.49</v>
      </c>
      <c r="G359">
        <v>14799951539.139999</v>
      </c>
      <c r="H359">
        <v>9509168</v>
      </c>
      <c r="I359">
        <v>9780882</v>
      </c>
      <c r="J359">
        <v>10012082</v>
      </c>
      <c r="K359">
        <v>19.579999999999998</v>
      </c>
      <c r="L359">
        <v>1.07</v>
      </c>
      <c r="M359">
        <v>16.27</v>
      </c>
      <c r="N359">
        <v>37.479999999999997</v>
      </c>
      <c r="O359">
        <v>31</v>
      </c>
      <c r="P359" t="s">
        <v>46</v>
      </c>
      <c r="Q359" t="s">
        <v>28</v>
      </c>
      <c r="R359" t="s">
        <v>35</v>
      </c>
      <c r="S359">
        <v>2017</v>
      </c>
      <c r="T359" t="s">
        <v>36</v>
      </c>
      <c r="U359">
        <v>10779</v>
      </c>
      <c r="V359">
        <v>34.950000000000003</v>
      </c>
      <c r="W359">
        <v>86.64</v>
      </c>
      <c r="X359">
        <v>44.37</v>
      </c>
      <c r="Y359">
        <v>92.98</v>
      </c>
    </row>
    <row r="360" spans="1:25" x14ac:dyDescent="0.3">
      <c r="A360" t="s">
        <v>301</v>
      </c>
      <c r="B360" t="str">
        <f t="shared" si="5"/>
        <v>Nov</v>
      </c>
      <c r="C360" t="s">
        <v>55</v>
      </c>
      <c r="D360" t="s">
        <v>56</v>
      </c>
      <c r="E360">
        <v>772456563829.07996</v>
      </c>
      <c r="F360">
        <v>6041.95</v>
      </c>
      <c r="G360">
        <v>39018433796.599998</v>
      </c>
      <c r="H360">
        <v>1782406</v>
      </c>
      <c r="I360">
        <v>6586952</v>
      </c>
      <c r="J360">
        <v>7179426</v>
      </c>
      <c r="K360">
        <v>16.61</v>
      </c>
      <c r="L360">
        <v>0.97</v>
      </c>
      <c r="M360">
        <v>-18.89</v>
      </c>
      <c r="N360">
        <v>10.38</v>
      </c>
      <c r="O360">
        <v>9</v>
      </c>
      <c r="P360" t="s">
        <v>51</v>
      </c>
      <c r="Q360" t="s">
        <v>28</v>
      </c>
      <c r="R360" t="s">
        <v>35</v>
      </c>
      <c r="S360">
        <v>2012</v>
      </c>
      <c r="T360" t="s">
        <v>58</v>
      </c>
      <c r="U360">
        <v>19113</v>
      </c>
      <c r="V360">
        <v>80.63</v>
      </c>
      <c r="W360">
        <v>23.79</v>
      </c>
      <c r="X360">
        <v>48.69</v>
      </c>
      <c r="Y360">
        <v>98.89</v>
      </c>
    </row>
    <row r="361" spans="1:25" x14ac:dyDescent="0.3">
      <c r="A361" t="s">
        <v>134</v>
      </c>
      <c r="B361" t="str">
        <f t="shared" si="5"/>
        <v>Mar</v>
      </c>
      <c r="C361" t="s">
        <v>49</v>
      </c>
      <c r="D361" t="s">
        <v>50</v>
      </c>
      <c r="E361">
        <v>293095039234.45001</v>
      </c>
      <c r="F361">
        <v>57519.59</v>
      </c>
      <c r="G361">
        <v>5728953030.04</v>
      </c>
      <c r="H361">
        <v>17811595</v>
      </c>
      <c r="I361">
        <v>21538560</v>
      </c>
      <c r="J361">
        <v>21842251</v>
      </c>
      <c r="K361">
        <v>45.99</v>
      </c>
      <c r="L361">
        <v>-0.14000000000000001</v>
      </c>
      <c r="M361">
        <v>-19.32</v>
      </c>
      <c r="N361">
        <v>-25.44</v>
      </c>
      <c r="O361">
        <v>190</v>
      </c>
      <c r="P361" t="s">
        <v>53</v>
      </c>
      <c r="Q361" t="s">
        <v>34</v>
      </c>
      <c r="R361" t="s">
        <v>35</v>
      </c>
      <c r="S361">
        <v>2020</v>
      </c>
      <c r="T361" t="s">
        <v>36</v>
      </c>
      <c r="U361">
        <v>2655</v>
      </c>
      <c r="V361">
        <v>13.36</v>
      </c>
      <c r="W361">
        <v>21.1</v>
      </c>
      <c r="X361">
        <v>88.78</v>
      </c>
      <c r="Y361">
        <v>78.88</v>
      </c>
    </row>
    <row r="362" spans="1:25" x14ac:dyDescent="0.3">
      <c r="A362" t="s">
        <v>302</v>
      </c>
      <c r="B362" t="str">
        <f t="shared" si="5"/>
        <v>Feb</v>
      </c>
      <c r="C362" t="s">
        <v>60</v>
      </c>
      <c r="D362" t="s">
        <v>61</v>
      </c>
      <c r="E362">
        <v>580821208332.47998</v>
      </c>
      <c r="F362">
        <v>29026.73</v>
      </c>
      <c r="G362">
        <v>27480668634.73</v>
      </c>
      <c r="H362">
        <v>4951657</v>
      </c>
      <c r="I362">
        <v>8722926</v>
      </c>
      <c r="J362">
        <v>8781721</v>
      </c>
      <c r="K362">
        <v>32.93</v>
      </c>
      <c r="L362">
        <v>-0.01</v>
      </c>
      <c r="M362">
        <v>5.69</v>
      </c>
      <c r="N362">
        <v>2.0499999999999998</v>
      </c>
      <c r="O362">
        <v>43</v>
      </c>
      <c r="P362" t="s">
        <v>40</v>
      </c>
      <c r="Q362" t="s">
        <v>47</v>
      </c>
      <c r="R362" t="s">
        <v>35</v>
      </c>
      <c r="S362">
        <v>2022</v>
      </c>
      <c r="T362" t="s">
        <v>30</v>
      </c>
      <c r="U362">
        <v>38145</v>
      </c>
      <c r="V362">
        <v>66.19</v>
      </c>
      <c r="W362">
        <v>72.64</v>
      </c>
      <c r="X362">
        <v>41.97</v>
      </c>
      <c r="Y362">
        <v>75.13</v>
      </c>
    </row>
    <row r="363" spans="1:25" x14ac:dyDescent="0.3">
      <c r="A363" t="s">
        <v>288</v>
      </c>
      <c r="B363" t="str">
        <f t="shared" si="5"/>
        <v>Mar</v>
      </c>
      <c r="C363" t="s">
        <v>55</v>
      </c>
      <c r="D363" t="s">
        <v>56</v>
      </c>
      <c r="E363">
        <v>422701983426.59998</v>
      </c>
      <c r="F363">
        <v>18131.63</v>
      </c>
      <c r="G363">
        <v>27333804939.25</v>
      </c>
      <c r="H363">
        <v>16688494</v>
      </c>
      <c r="I363">
        <v>21549237</v>
      </c>
      <c r="J363">
        <v>21741825</v>
      </c>
      <c r="K363">
        <v>49.8</v>
      </c>
      <c r="L363">
        <v>-0.22</v>
      </c>
      <c r="M363">
        <v>-7.81</v>
      </c>
      <c r="N363">
        <v>-23.49</v>
      </c>
      <c r="O363">
        <v>149</v>
      </c>
      <c r="P363" t="s">
        <v>40</v>
      </c>
      <c r="Q363" t="s">
        <v>28</v>
      </c>
      <c r="R363" t="s">
        <v>42</v>
      </c>
      <c r="S363">
        <v>2010</v>
      </c>
      <c r="T363" t="s">
        <v>58</v>
      </c>
      <c r="U363">
        <v>31812</v>
      </c>
      <c r="V363">
        <v>21.72</v>
      </c>
      <c r="W363">
        <v>80.36</v>
      </c>
      <c r="X363">
        <v>70.95</v>
      </c>
      <c r="Y363">
        <v>68.78</v>
      </c>
    </row>
    <row r="364" spans="1:25" x14ac:dyDescent="0.3">
      <c r="A364" t="s">
        <v>197</v>
      </c>
      <c r="B364" t="str">
        <f t="shared" si="5"/>
        <v>Apr</v>
      </c>
      <c r="C364" t="s">
        <v>90</v>
      </c>
      <c r="D364" t="s">
        <v>91</v>
      </c>
      <c r="E364">
        <v>783602623132.18005</v>
      </c>
      <c r="F364">
        <v>54226.21</v>
      </c>
      <c r="G364">
        <v>34558101257.68</v>
      </c>
      <c r="H364">
        <v>11752051</v>
      </c>
      <c r="I364">
        <v>14272990</v>
      </c>
      <c r="J364">
        <v>14851259</v>
      </c>
      <c r="K364">
        <v>0.46</v>
      </c>
      <c r="L364">
        <v>0.97</v>
      </c>
      <c r="M364">
        <v>9.01</v>
      </c>
      <c r="N364">
        <v>-34.979999999999997</v>
      </c>
      <c r="O364">
        <v>124</v>
      </c>
      <c r="P364" t="s">
        <v>53</v>
      </c>
      <c r="Q364" t="s">
        <v>41</v>
      </c>
      <c r="R364" t="s">
        <v>74</v>
      </c>
      <c r="S364">
        <v>2012</v>
      </c>
      <c r="T364" t="s">
        <v>30</v>
      </c>
      <c r="U364">
        <v>54643</v>
      </c>
      <c r="V364">
        <v>25.17</v>
      </c>
      <c r="W364">
        <v>53.31</v>
      </c>
      <c r="X364">
        <v>96.9</v>
      </c>
      <c r="Y364">
        <v>88.09</v>
      </c>
    </row>
    <row r="365" spans="1:25" x14ac:dyDescent="0.3">
      <c r="A365" t="s">
        <v>147</v>
      </c>
      <c r="B365" t="str">
        <f t="shared" si="5"/>
        <v>Mar</v>
      </c>
      <c r="C365" t="s">
        <v>55</v>
      </c>
      <c r="D365" t="s">
        <v>56</v>
      </c>
      <c r="E365">
        <v>254068736689.45999</v>
      </c>
      <c r="F365">
        <v>46804.33</v>
      </c>
      <c r="G365">
        <v>32853789361.400002</v>
      </c>
      <c r="H365">
        <v>9969720</v>
      </c>
      <c r="I365">
        <v>11986950</v>
      </c>
      <c r="J365">
        <v>12816724</v>
      </c>
      <c r="K365">
        <v>2.5499999999999998</v>
      </c>
      <c r="L365">
        <v>3.66</v>
      </c>
      <c r="M365">
        <v>8.01</v>
      </c>
      <c r="N365">
        <v>-13.08</v>
      </c>
      <c r="O365">
        <v>107</v>
      </c>
      <c r="P365" t="s">
        <v>27</v>
      </c>
      <c r="Q365" t="s">
        <v>34</v>
      </c>
      <c r="R365" t="s">
        <v>42</v>
      </c>
      <c r="S365">
        <v>2016</v>
      </c>
      <c r="T365" t="s">
        <v>58</v>
      </c>
      <c r="U365">
        <v>37977</v>
      </c>
      <c r="V365">
        <v>12.23</v>
      </c>
      <c r="W365">
        <v>95.63</v>
      </c>
      <c r="X365">
        <v>31.25</v>
      </c>
      <c r="Y365">
        <v>73.36</v>
      </c>
    </row>
    <row r="366" spans="1:25" x14ac:dyDescent="0.3">
      <c r="A366" t="s">
        <v>303</v>
      </c>
      <c r="B366" t="str">
        <f t="shared" si="5"/>
        <v>Feb</v>
      </c>
      <c r="C366" t="s">
        <v>60</v>
      </c>
      <c r="D366" t="s">
        <v>61</v>
      </c>
      <c r="E366">
        <v>664086216637.60999</v>
      </c>
      <c r="F366">
        <v>5722.04</v>
      </c>
      <c r="G366">
        <v>47746772665.610001</v>
      </c>
      <c r="H366">
        <v>15741353</v>
      </c>
      <c r="I366">
        <v>17770766</v>
      </c>
      <c r="J366">
        <v>17927157</v>
      </c>
      <c r="K366">
        <v>59.94</v>
      </c>
      <c r="L366">
        <v>-2.16</v>
      </c>
      <c r="M366">
        <v>-7.91</v>
      </c>
      <c r="N366">
        <v>27.17</v>
      </c>
      <c r="O366">
        <v>41</v>
      </c>
      <c r="P366" t="s">
        <v>53</v>
      </c>
      <c r="Q366" t="s">
        <v>57</v>
      </c>
      <c r="R366" t="s">
        <v>64</v>
      </c>
      <c r="S366">
        <v>2021</v>
      </c>
      <c r="T366" t="s">
        <v>30</v>
      </c>
      <c r="U366">
        <v>38374</v>
      </c>
      <c r="V366">
        <v>41.79</v>
      </c>
      <c r="W366">
        <v>49.58</v>
      </c>
      <c r="X366">
        <v>79.069999999999993</v>
      </c>
      <c r="Y366">
        <v>40.299999999999997</v>
      </c>
    </row>
    <row r="367" spans="1:25" x14ac:dyDescent="0.3">
      <c r="A367" t="s">
        <v>98</v>
      </c>
      <c r="B367" t="str">
        <f t="shared" si="5"/>
        <v>Aug</v>
      </c>
      <c r="C367" t="s">
        <v>60</v>
      </c>
      <c r="D367" t="s">
        <v>61</v>
      </c>
      <c r="E367">
        <v>823517995698.06006</v>
      </c>
      <c r="F367">
        <v>5924.04</v>
      </c>
      <c r="G367">
        <v>40527286640.32</v>
      </c>
      <c r="H367">
        <v>6705860</v>
      </c>
      <c r="I367">
        <v>8177259</v>
      </c>
      <c r="J367">
        <v>8935248</v>
      </c>
      <c r="K367">
        <v>10.11</v>
      </c>
      <c r="L367">
        <v>2.13</v>
      </c>
      <c r="M367">
        <v>11.11</v>
      </c>
      <c r="N367">
        <v>-19.62</v>
      </c>
      <c r="O367">
        <v>188</v>
      </c>
      <c r="P367" t="s">
        <v>51</v>
      </c>
      <c r="Q367" t="s">
        <v>41</v>
      </c>
      <c r="R367" t="s">
        <v>74</v>
      </c>
      <c r="S367">
        <v>2014</v>
      </c>
      <c r="T367" t="s">
        <v>30</v>
      </c>
      <c r="U367">
        <v>4806</v>
      </c>
      <c r="V367">
        <v>71.010000000000005</v>
      </c>
      <c r="W367">
        <v>70.97</v>
      </c>
      <c r="X367">
        <v>94.09</v>
      </c>
      <c r="Y367">
        <v>81.48</v>
      </c>
    </row>
    <row r="368" spans="1:25" x14ac:dyDescent="0.3">
      <c r="A368" t="s">
        <v>96</v>
      </c>
      <c r="B368" t="str">
        <f t="shared" si="5"/>
        <v>Jul</v>
      </c>
      <c r="C368" t="s">
        <v>44</v>
      </c>
      <c r="D368" t="s">
        <v>45</v>
      </c>
      <c r="E368">
        <v>217765615599.60001</v>
      </c>
      <c r="F368">
        <v>5406.98</v>
      </c>
      <c r="G368">
        <v>6952047564.1099997</v>
      </c>
      <c r="H368">
        <v>14564560</v>
      </c>
      <c r="I368">
        <v>14990291</v>
      </c>
      <c r="J368">
        <v>15613709</v>
      </c>
      <c r="K368">
        <v>23.64</v>
      </c>
      <c r="L368">
        <v>3.61</v>
      </c>
      <c r="M368">
        <v>17.7</v>
      </c>
      <c r="N368">
        <v>-37.18</v>
      </c>
      <c r="O368">
        <v>164</v>
      </c>
      <c r="P368" t="s">
        <v>53</v>
      </c>
      <c r="Q368" t="s">
        <v>34</v>
      </c>
      <c r="R368" t="s">
        <v>64</v>
      </c>
      <c r="S368">
        <v>2014</v>
      </c>
      <c r="T368" t="s">
        <v>36</v>
      </c>
      <c r="U368">
        <v>62807</v>
      </c>
      <c r="V368">
        <v>81.790000000000006</v>
      </c>
      <c r="W368">
        <v>71.78</v>
      </c>
      <c r="X368">
        <v>18.04</v>
      </c>
      <c r="Y368">
        <v>77.900000000000006</v>
      </c>
    </row>
    <row r="369" spans="1:25" x14ac:dyDescent="0.3">
      <c r="A369" t="s">
        <v>299</v>
      </c>
      <c r="B369" t="str">
        <f t="shared" si="5"/>
        <v>Nov</v>
      </c>
      <c r="C369" t="s">
        <v>25</v>
      </c>
      <c r="D369" t="s">
        <v>26</v>
      </c>
      <c r="E369">
        <v>888741891963.56995</v>
      </c>
      <c r="F369">
        <v>26441.54</v>
      </c>
      <c r="G369">
        <v>25415854450.810001</v>
      </c>
      <c r="H369">
        <v>13677371</v>
      </c>
      <c r="I369">
        <v>17066101</v>
      </c>
      <c r="J369">
        <v>17493538</v>
      </c>
      <c r="K369">
        <v>55.1</v>
      </c>
      <c r="L369">
        <v>1.73</v>
      </c>
      <c r="M369">
        <v>14.95</v>
      </c>
      <c r="N369">
        <v>0.32</v>
      </c>
      <c r="O369">
        <v>105</v>
      </c>
      <c r="P369" t="s">
        <v>46</v>
      </c>
      <c r="Q369" t="s">
        <v>57</v>
      </c>
      <c r="R369" t="s">
        <v>64</v>
      </c>
      <c r="S369">
        <v>2023</v>
      </c>
      <c r="T369" t="s">
        <v>30</v>
      </c>
      <c r="U369">
        <v>21620</v>
      </c>
      <c r="V369">
        <v>93.38</v>
      </c>
      <c r="W369">
        <v>49.95</v>
      </c>
      <c r="X369">
        <v>13.01</v>
      </c>
      <c r="Y369">
        <v>95.49</v>
      </c>
    </row>
    <row r="370" spans="1:25" x14ac:dyDescent="0.3">
      <c r="A370" t="s">
        <v>304</v>
      </c>
      <c r="B370" t="str">
        <f t="shared" si="5"/>
        <v>Dec</v>
      </c>
      <c r="C370" t="s">
        <v>78</v>
      </c>
      <c r="D370" t="s">
        <v>79</v>
      </c>
      <c r="E370">
        <v>314025549105.10999</v>
      </c>
      <c r="F370">
        <v>1114.3</v>
      </c>
      <c r="G370">
        <v>18240261477.18</v>
      </c>
      <c r="H370">
        <v>11066622</v>
      </c>
      <c r="I370">
        <v>13883226</v>
      </c>
      <c r="J370">
        <v>14781045</v>
      </c>
      <c r="K370">
        <v>13.82</v>
      </c>
      <c r="L370">
        <v>3.9</v>
      </c>
      <c r="M370">
        <v>12.85</v>
      </c>
      <c r="N370">
        <v>-24.6</v>
      </c>
      <c r="O370">
        <v>159</v>
      </c>
      <c r="P370" t="s">
        <v>53</v>
      </c>
      <c r="Q370" t="s">
        <v>47</v>
      </c>
      <c r="R370" t="s">
        <v>64</v>
      </c>
      <c r="S370">
        <v>2018</v>
      </c>
      <c r="T370" t="s">
        <v>36</v>
      </c>
      <c r="U370">
        <v>54588</v>
      </c>
      <c r="V370">
        <v>33.4</v>
      </c>
      <c r="W370">
        <v>49.39</v>
      </c>
      <c r="X370">
        <v>51.49</v>
      </c>
      <c r="Y370">
        <v>93.71</v>
      </c>
    </row>
    <row r="371" spans="1:25" x14ac:dyDescent="0.3">
      <c r="A371" t="s">
        <v>251</v>
      </c>
      <c r="B371" t="str">
        <f t="shared" si="5"/>
        <v>May</v>
      </c>
      <c r="C371" t="s">
        <v>25</v>
      </c>
      <c r="D371" t="s">
        <v>26</v>
      </c>
      <c r="E371">
        <v>501025559689.15997</v>
      </c>
      <c r="F371">
        <v>2948.02</v>
      </c>
      <c r="G371">
        <v>7208339570.4200001</v>
      </c>
      <c r="H371">
        <v>9273108</v>
      </c>
      <c r="I371">
        <v>12994456</v>
      </c>
      <c r="J371">
        <v>13786227</v>
      </c>
      <c r="K371">
        <v>12.83</v>
      </c>
      <c r="L371">
        <v>-3.93</v>
      </c>
      <c r="M371">
        <v>-0.42</v>
      </c>
      <c r="N371">
        <v>3.7</v>
      </c>
      <c r="O371">
        <v>59</v>
      </c>
      <c r="P371" t="s">
        <v>40</v>
      </c>
      <c r="Q371" t="s">
        <v>41</v>
      </c>
      <c r="R371" t="s">
        <v>74</v>
      </c>
      <c r="S371">
        <v>2013</v>
      </c>
      <c r="T371" t="s">
        <v>30</v>
      </c>
      <c r="U371">
        <v>59285</v>
      </c>
      <c r="V371">
        <v>64.13</v>
      </c>
      <c r="W371">
        <v>30.69</v>
      </c>
      <c r="X371">
        <v>10.46</v>
      </c>
      <c r="Y371">
        <v>90.41</v>
      </c>
    </row>
    <row r="372" spans="1:25" x14ac:dyDescent="0.3">
      <c r="A372" t="s">
        <v>122</v>
      </c>
      <c r="B372" t="str">
        <f t="shared" si="5"/>
        <v>Jul</v>
      </c>
      <c r="C372" t="s">
        <v>60</v>
      </c>
      <c r="D372" t="s">
        <v>61</v>
      </c>
      <c r="E372">
        <v>334114964926.84998</v>
      </c>
      <c r="F372">
        <v>63825.05</v>
      </c>
      <c r="G372">
        <v>46544245341.449997</v>
      </c>
      <c r="H372">
        <v>16037528</v>
      </c>
      <c r="I372">
        <v>16486458</v>
      </c>
      <c r="J372">
        <v>17451678</v>
      </c>
      <c r="K372">
        <v>58.69</v>
      </c>
      <c r="L372">
        <v>4.95</v>
      </c>
      <c r="M372">
        <v>-12.92</v>
      </c>
      <c r="N372">
        <v>-30.48</v>
      </c>
      <c r="O372">
        <v>65</v>
      </c>
      <c r="P372" t="s">
        <v>51</v>
      </c>
      <c r="Q372" t="s">
        <v>34</v>
      </c>
      <c r="R372" t="s">
        <v>29</v>
      </c>
      <c r="S372">
        <v>2020</v>
      </c>
      <c r="T372" t="s">
        <v>30</v>
      </c>
      <c r="U372">
        <v>6249</v>
      </c>
      <c r="V372">
        <v>87.47</v>
      </c>
      <c r="W372">
        <v>86.74</v>
      </c>
      <c r="X372">
        <v>73.569999999999993</v>
      </c>
      <c r="Y372">
        <v>18.989999999999998</v>
      </c>
    </row>
    <row r="373" spans="1:25" x14ac:dyDescent="0.3">
      <c r="A373" t="s">
        <v>305</v>
      </c>
      <c r="B373" t="str">
        <f t="shared" si="5"/>
        <v>May</v>
      </c>
      <c r="C373" t="s">
        <v>49</v>
      </c>
      <c r="D373" t="s">
        <v>50</v>
      </c>
      <c r="E373">
        <v>86931354698.080002</v>
      </c>
      <c r="F373">
        <v>43049.07</v>
      </c>
      <c r="G373">
        <v>35779888311.400002</v>
      </c>
      <c r="H373">
        <v>11243853</v>
      </c>
      <c r="I373">
        <v>14184887</v>
      </c>
      <c r="J373">
        <v>14537322</v>
      </c>
      <c r="K373">
        <v>22.02</v>
      </c>
      <c r="L373">
        <v>-1.76</v>
      </c>
      <c r="M373">
        <v>-5.05</v>
      </c>
      <c r="N373">
        <v>-12.83</v>
      </c>
      <c r="O373">
        <v>30</v>
      </c>
      <c r="P373" t="s">
        <v>27</v>
      </c>
      <c r="Q373" t="s">
        <v>34</v>
      </c>
      <c r="R373" t="s">
        <v>64</v>
      </c>
      <c r="S373">
        <v>2023</v>
      </c>
      <c r="T373" t="s">
        <v>36</v>
      </c>
      <c r="U373">
        <v>7821</v>
      </c>
      <c r="V373">
        <v>17.64</v>
      </c>
      <c r="W373">
        <v>62.43</v>
      </c>
      <c r="X373">
        <v>37.11</v>
      </c>
      <c r="Y373">
        <v>66.36</v>
      </c>
    </row>
    <row r="374" spans="1:25" x14ac:dyDescent="0.3">
      <c r="A374" t="s">
        <v>306</v>
      </c>
      <c r="B374" t="str">
        <f t="shared" si="5"/>
        <v>May</v>
      </c>
      <c r="C374" t="s">
        <v>55</v>
      </c>
      <c r="D374" t="s">
        <v>56</v>
      </c>
      <c r="E374">
        <v>682309265969.84998</v>
      </c>
      <c r="F374">
        <v>46766</v>
      </c>
      <c r="G374">
        <v>7852653158.8199997</v>
      </c>
      <c r="H374">
        <v>15018768</v>
      </c>
      <c r="I374">
        <v>19943657</v>
      </c>
      <c r="J374">
        <v>20727531</v>
      </c>
      <c r="K374">
        <v>41.05</v>
      </c>
      <c r="L374">
        <v>-3.76</v>
      </c>
      <c r="M374">
        <v>-3.84</v>
      </c>
      <c r="N374">
        <v>35.99</v>
      </c>
      <c r="O374">
        <v>107</v>
      </c>
      <c r="P374" t="s">
        <v>53</v>
      </c>
      <c r="Q374" t="s">
        <v>57</v>
      </c>
      <c r="R374" t="s">
        <v>64</v>
      </c>
      <c r="S374">
        <v>2013</v>
      </c>
      <c r="T374" t="s">
        <v>58</v>
      </c>
      <c r="U374">
        <v>1582</v>
      </c>
      <c r="V374">
        <v>65.48</v>
      </c>
      <c r="W374">
        <v>78.77</v>
      </c>
      <c r="X374">
        <v>65.94</v>
      </c>
      <c r="Y374">
        <v>47.1</v>
      </c>
    </row>
    <row r="375" spans="1:25" x14ac:dyDescent="0.3">
      <c r="A375" t="s">
        <v>207</v>
      </c>
      <c r="B375" t="str">
        <f t="shared" si="5"/>
        <v>Apr</v>
      </c>
      <c r="C375" t="s">
        <v>55</v>
      </c>
      <c r="D375" t="s">
        <v>56</v>
      </c>
      <c r="E375">
        <v>777188028712.73999</v>
      </c>
      <c r="F375">
        <v>63616.74</v>
      </c>
      <c r="G375">
        <v>37245087282.519997</v>
      </c>
      <c r="H375">
        <v>17362285</v>
      </c>
      <c r="I375">
        <v>19562561</v>
      </c>
      <c r="J375">
        <v>19772513</v>
      </c>
      <c r="K375">
        <v>36.020000000000003</v>
      </c>
      <c r="L375">
        <v>3.36</v>
      </c>
      <c r="M375">
        <v>-11.11</v>
      </c>
      <c r="N375">
        <v>-10.82</v>
      </c>
      <c r="O375">
        <v>95</v>
      </c>
      <c r="P375" t="s">
        <v>46</v>
      </c>
      <c r="Q375" t="s">
        <v>28</v>
      </c>
      <c r="R375" t="s">
        <v>42</v>
      </c>
      <c r="S375">
        <v>2021</v>
      </c>
      <c r="T375" t="s">
        <v>58</v>
      </c>
      <c r="U375">
        <v>41604</v>
      </c>
      <c r="V375">
        <v>80.58</v>
      </c>
      <c r="W375">
        <v>89.36</v>
      </c>
      <c r="X375">
        <v>32.479999999999997</v>
      </c>
      <c r="Y375">
        <v>34.119999999999997</v>
      </c>
    </row>
    <row r="376" spans="1:25" x14ac:dyDescent="0.3">
      <c r="A376" t="s">
        <v>307</v>
      </c>
      <c r="B376" t="str">
        <f t="shared" si="5"/>
        <v>Jan</v>
      </c>
      <c r="C376" t="s">
        <v>78</v>
      </c>
      <c r="D376" t="s">
        <v>79</v>
      </c>
      <c r="E376">
        <v>287453190948.26001</v>
      </c>
      <c r="F376">
        <v>9830.0499999999993</v>
      </c>
      <c r="G376">
        <v>21048952885.82</v>
      </c>
      <c r="H376">
        <v>6378574</v>
      </c>
      <c r="I376">
        <v>7074765</v>
      </c>
      <c r="J376">
        <v>7840924</v>
      </c>
      <c r="K376">
        <v>38.99</v>
      </c>
      <c r="L376">
        <v>-0.4</v>
      </c>
      <c r="M376">
        <v>-4.32</v>
      </c>
      <c r="N376">
        <v>-35.770000000000003</v>
      </c>
      <c r="O376">
        <v>62</v>
      </c>
      <c r="P376" t="s">
        <v>40</v>
      </c>
      <c r="Q376" t="s">
        <v>47</v>
      </c>
      <c r="R376" t="s">
        <v>74</v>
      </c>
      <c r="S376">
        <v>2023</v>
      </c>
      <c r="T376" t="s">
        <v>36</v>
      </c>
      <c r="U376">
        <v>6827</v>
      </c>
      <c r="V376">
        <v>73.87</v>
      </c>
      <c r="W376">
        <v>42.82</v>
      </c>
      <c r="X376">
        <v>62.57</v>
      </c>
      <c r="Y376">
        <v>36.71</v>
      </c>
    </row>
    <row r="377" spans="1:25" x14ac:dyDescent="0.3">
      <c r="A377" t="s">
        <v>112</v>
      </c>
      <c r="B377" t="str">
        <f t="shared" si="5"/>
        <v>Feb</v>
      </c>
      <c r="C377" t="s">
        <v>78</v>
      </c>
      <c r="D377" t="s">
        <v>79</v>
      </c>
      <c r="E377">
        <v>259762579420.70999</v>
      </c>
      <c r="F377">
        <v>56290.58</v>
      </c>
      <c r="G377">
        <v>14898439331.34</v>
      </c>
      <c r="H377">
        <v>1017282</v>
      </c>
      <c r="I377">
        <v>4519800</v>
      </c>
      <c r="J377">
        <v>4522631</v>
      </c>
      <c r="K377">
        <v>44.41</v>
      </c>
      <c r="L377">
        <v>1.35</v>
      </c>
      <c r="M377">
        <v>11.96</v>
      </c>
      <c r="N377">
        <v>1.31</v>
      </c>
      <c r="O377">
        <v>82</v>
      </c>
      <c r="P377" t="s">
        <v>46</v>
      </c>
      <c r="Q377" t="s">
        <v>28</v>
      </c>
      <c r="R377" t="s">
        <v>74</v>
      </c>
      <c r="S377">
        <v>2018</v>
      </c>
      <c r="T377" t="s">
        <v>36</v>
      </c>
      <c r="U377">
        <v>44396</v>
      </c>
      <c r="V377">
        <v>16.18</v>
      </c>
      <c r="W377">
        <v>47.53</v>
      </c>
      <c r="X377">
        <v>90.1</v>
      </c>
      <c r="Y377">
        <v>48.01</v>
      </c>
    </row>
    <row r="378" spans="1:25" x14ac:dyDescent="0.3">
      <c r="A378" t="s">
        <v>157</v>
      </c>
      <c r="B378" t="str">
        <f t="shared" si="5"/>
        <v>Jan</v>
      </c>
      <c r="C378" t="s">
        <v>78</v>
      </c>
      <c r="D378" t="s">
        <v>79</v>
      </c>
      <c r="E378">
        <v>274009474115.89999</v>
      </c>
      <c r="F378">
        <v>28410.799999999999</v>
      </c>
      <c r="G378">
        <v>4610763737.8800001</v>
      </c>
      <c r="H378">
        <v>8684073</v>
      </c>
      <c r="I378">
        <v>12850938</v>
      </c>
      <c r="J378">
        <v>13540309</v>
      </c>
      <c r="K378">
        <v>6.1</v>
      </c>
      <c r="L378">
        <v>-4.8499999999999996</v>
      </c>
      <c r="M378">
        <v>4.74</v>
      </c>
      <c r="N378">
        <v>15.31</v>
      </c>
      <c r="O378">
        <v>56</v>
      </c>
      <c r="P378" t="s">
        <v>53</v>
      </c>
      <c r="Q378" t="s">
        <v>41</v>
      </c>
      <c r="R378" t="s">
        <v>74</v>
      </c>
      <c r="S378">
        <v>2011</v>
      </c>
      <c r="T378" t="s">
        <v>36</v>
      </c>
      <c r="U378">
        <v>4171</v>
      </c>
      <c r="V378">
        <v>99.11</v>
      </c>
      <c r="W378">
        <v>84.13</v>
      </c>
      <c r="X378">
        <v>79.25</v>
      </c>
      <c r="Y378">
        <v>43.73</v>
      </c>
    </row>
    <row r="379" spans="1:25" x14ac:dyDescent="0.3">
      <c r="A379" t="s">
        <v>113</v>
      </c>
      <c r="B379" t="str">
        <f t="shared" si="5"/>
        <v>Mar</v>
      </c>
      <c r="C379" t="s">
        <v>25</v>
      </c>
      <c r="D379" t="s">
        <v>26</v>
      </c>
      <c r="E379">
        <v>828993317973.56995</v>
      </c>
      <c r="F379">
        <v>48145.32</v>
      </c>
      <c r="G379">
        <v>6431895639.6599998</v>
      </c>
      <c r="H379">
        <v>6379303</v>
      </c>
      <c r="I379">
        <v>9241245</v>
      </c>
      <c r="J379">
        <v>9268908</v>
      </c>
      <c r="K379">
        <v>24.89</v>
      </c>
      <c r="L379">
        <v>-2.61</v>
      </c>
      <c r="M379">
        <v>10.31</v>
      </c>
      <c r="N379">
        <v>14.87</v>
      </c>
      <c r="O379">
        <v>80</v>
      </c>
      <c r="P379" t="s">
        <v>27</v>
      </c>
      <c r="Q379" t="s">
        <v>57</v>
      </c>
      <c r="R379" t="s">
        <v>64</v>
      </c>
      <c r="S379">
        <v>2019</v>
      </c>
      <c r="T379" t="s">
        <v>30</v>
      </c>
      <c r="U379">
        <v>55776</v>
      </c>
      <c r="V379">
        <v>77.81</v>
      </c>
      <c r="W379">
        <v>83.61</v>
      </c>
      <c r="X379">
        <v>68.23</v>
      </c>
      <c r="Y379">
        <v>28.04</v>
      </c>
    </row>
    <row r="380" spans="1:25" x14ac:dyDescent="0.3">
      <c r="A380" t="s">
        <v>279</v>
      </c>
      <c r="B380" t="str">
        <f t="shared" si="5"/>
        <v>Nov</v>
      </c>
      <c r="C380" t="s">
        <v>44</v>
      </c>
      <c r="D380" t="s">
        <v>45</v>
      </c>
      <c r="E380">
        <v>743256037381.85999</v>
      </c>
      <c r="F380">
        <v>22683.21</v>
      </c>
      <c r="G380">
        <v>8892272920.3600006</v>
      </c>
      <c r="H380">
        <v>14660707</v>
      </c>
      <c r="I380">
        <v>16581428</v>
      </c>
      <c r="J380">
        <v>17569311</v>
      </c>
      <c r="K380">
        <v>57.97</v>
      </c>
      <c r="L380">
        <v>2.35</v>
      </c>
      <c r="M380">
        <v>3.35</v>
      </c>
      <c r="N380">
        <v>30.69</v>
      </c>
      <c r="O380">
        <v>77</v>
      </c>
      <c r="P380" t="s">
        <v>40</v>
      </c>
      <c r="Q380" t="s">
        <v>28</v>
      </c>
      <c r="R380" t="s">
        <v>29</v>
      </c>
      <c r="S380">
        <v>2010</v>
      </c>
      <c r="T380" t="s">
        <v>36</v>
      </c>
      <c r="U380">
        <v>34524</v>
      </c>
      <c r="V380">
        <v>80.72</v>
      </c>
      <c r="W380">
        <v>46.06</v>
      </c>
      <c r="X380">
        <v>62.74</v>
      </c>
      <c r="Y380">
        <v>74.2</v>
      </c>
    </row>
    <row r="381" spans="1:25" x14ac:dyDescent="0.3">
      <c r="A381" t="s">
        <v>112</v>
      </c>
      <c r="B381" t="str">
        <f t="shared" si="5"/>
        <v>Feb</v>
      </c>
      <c r="C381" t="s">
        <v>32</v>
      </c>
      <c r="D381" t="s">
        <v>33</v>
      </c>
      <c r="E381">
        <v>298404613703.15002</v>
      </c>
      <c r="F381">
        <v>41876.58</v>
      </c>
      <c r="G381">
        <v>603400345.50999999</v>
      </c>
      <c r="H381">
        <v>12853380</v>
      </c>
      <c r="I381">
        <v>15561623</v>
      </c>
      <c r="J381">
        <v>15586909</v>
      </c>
      <c r="K381">
        <v>19.05</v>
      </c>
      <c r="L381">
        <v>-3.49</v>
      </c>
      <c r="M381">
        <v>-4.17</v>
      </c>
      <c r="N381">
        <v>5.49</v>
      </c>
      <c r="O381">
        <v>197</v>
      </c>
      <c r="P381" t="s">
        <v>51</v>
      </c>
      <c r="Q381" t="s">
        <v>47</v>
      </c>
      <c r="R381" t="s">
        <v>42</v>
      </c>
      <c r="S381">
        <v>2014</v>
      </c>
      <c r="T381" t="s">
        <v>36</v>
      </c>
      <c r="U381">
        <v>6376</v>
      </c>
      <c r="V381">
        <v>21.89</v>
      </c>
      <c r="W381">
        <v>84.77</v>
      </c>
      <c r="X381">
        <v>87.63</v>
      </c>
      <c r="Y381">
        <v>43.21</v>
      </c>
    </row>
    <row r="382" spans="1:25" x14ac:dyDescent="0.3">
      <c r="A382" t="s">
        <v>249</v>
      </c>
      <c r="B382" t="str">
        <f t="shared" si="5"/>
        <v>May</v>
      </c>
      <c r="C382" t="s">
        <v>55</v>
      </c>
      <c r="D382" t="s">
        <v>56</v>
      </c>
      <c r="E382">
        <v>750399942937.42004</v>
      </c>
      <c r="F382">
        <v>20215</v>
      </c>
      <c r="G382">
        <v>45171393920.870003</v>
      </c>
      <c r="H382">
        <v>12972445</v>
      </c>
      <c r="I382">
        <v>14384948</v>
      </c>
      <c r="J382">
        <v>15273567</v>
      </c>
      <c r="K382">
        <v>51.86</v>
      </c>
      <c r="L382">
        <v>2.61</v>
      </c>
      <c r="M382">
        <v>6.93</v>
      </c>
      <c r="N382">
        <v>6.06</v>
      </c>
      <c r="O382">
        <v>108</v>
      </c>
      <c r="P382" t="s">
        <v>27</v>
      </c>
      <c r="Q382" t="s">
        <v>57</v>
      </c>
      <c r="R382" t="s">
        <v>74</v>
      </c>
      <c r="S382">
        <v>2013</v>
      </c>
      <c r="T382" t="s">
        <v>58</v>
      </c>
      <c r="U382">
        <v>4797</v>
      </c>
      <c r="V382">
        <v>97.08</v>
      </c>
      <c r="W382">
        <v>95.73</v>
      </c>
      <c r="X382">
        <v>25.11</v>
      </c>
      <c r="Y382">
        <v>82.68</v>
      </c>
    </row>
    <row r="383" spans="1:25" x14ac:dyDescent="0.3">
      <c r="A383" t="s">
        <v>189</v>
      </c>
      <c r="B383" t="str">
        <f t="shared" si="5"/>
        <v>Sep</v>
      </c>
      <c r="C383" t="s">
        <v>44</v>
      </c>
      <c r="D383" t="s">
        <v>45</v>
      </c>
      <c r="E383">
        <v>886590229730.89001</v>
      </c>
      <c r="F383">
        <v>22973.56</v>
      </c>
      <c r="G383">
        <v>33162819997.619999</v>
      </c>
      <c r="H383">
        <v>1401791</v>
      </c>
      <c r="I383">
        <v>5800804</v>
      </c>
      <c r="J383">
        <v>6433735</v>
      </c>
      <c r="K383">
        <v>52.13</v>
      </c>
      <c r="L383">
        <v>-4.75</v>
      </c>
      <c r="M383">
        <v>13.3</v>
      </c>
      <c r="N383">
        <v>36.130000000000003</v>
      </c>
      <c r="O383">
        <v>112</v>
      </c>
      <c r="P383" t="s">
        <v>51</v>
      </c>
      <c r="Q383" t="s">
        <v>47</v>
      </c>
      <c r="R383" t="s">
        <v>35</v>
      </c>
      <c r="S383">
        <v>2010</v>
      </c>
      <c r="T383" t="s">
        <v>36</v>
      </c>
      <c r="U383">
        <v>40167</v>
      </c>
      <c r="V383">
        <v>85</v>
      </c>
      <c r="W383">
        <v>83.48</v>
      </c>
      <c r="X383">
        <v>84.64</v>
      </c>
      <c r="Y383">
        <v>82.15</v>
      </c>
    </row>
    <row r="384" spans="1:25" x14ac:dyDescent="0.3">
      <c r="A384" t="s">
        <v>280</v>
      </c>
      <c r="B384" t="str">
        <f t="shared" si="5"/>
        <v>Nov</v>
      </c>
      <c r="C384" t="s">
        <v>38</v>
      </c>
      <c r="D384" t="s">
        <v>39</v>
      </c>
      <c r="E384">
        <v>110546585013.11</v>
      </c>
      <c r="F384">
        <v>24063.63</v>
      </c>
      <c r="G384">
        <v>6193843796.1000004</v>
      </c>
      <c r="H384">
        <v>6857447</v>
      </c>
      <c r="I384">
        <v>9909257</v>
      </c>
      <c r="J384">
        <v>10031245</v>
      </c>
      <c r="K384">
        <v>58.54</v>
      </c>
      <c r="L384">
        <v>2.71</v>
      </c>
      <c r="M384">
        <v>-4.2300000000000004</v>
      </c>
      <c r="N384">
        <v>-33.950000000000003</v>
      </c>
      <c r="O384">
        <v>70</v>
      </c>
      <c r="P384" t="s">
        <v>46</v>
      </c>
      <c r="Q384" t="s">
        <v>41</v>
      </c>
      <c r="R384" t="s">
        <v>35</v>
      </c>
      <c r="S384">
        <v>2020</v>
      </c>
      <c r="T384" t="s">
        <v>36</v>
      </c>
      <c r="U384">
        <v>14449</v>
      </c>
      <c r="V384">
        <v>55.13</v>
      </c>
      <c r="W384">
        <v>56.64</v>
      </c>
      <c r="X384">
        <v>60.24</v>
      </c>
      <c r="Y384">
        <v>83.47</v>
      </c>
    </row>
    <row r="385" spans="1:25" x14ac:dyDescent="0.3">
      <c r="A385" t="s">
        <v>308</v>
      </c>
      <c r="B385" t="str">
        <f t="shared" si="5"/>
        <v>Sep</v>
      </c>
      <c r="C385" t="s">
        <v>55</v>
      </c>
      <c r="D385" t="s">
        <v>56</v>
      </c>
      <c r="E385">
        <v>386473730902.28003</v>
      </c>
      <c r="F385">
        <v>33680.97</v>
      </c>
      <c r="G385">
        <v>35309179697.910004</v>
      </c>
      <c r="H385">
        <v>1687117</v>
      </c>
      <c r="I385">
        <v>4845590</v>
      </c>
      <c r="J385">
        <v>5385297</v>
      </c>
      <c r="K385">
        <v>32.409999999999997</v>
      </c>
      <c r="L385">
        <v>4.53</v>
      </c>
      <c r="M385">
        <v>-10.68</v>
      </c>
      <c r="N385">
        <v>31.08</v>
      </c>
      <c r="O385">
        <v>165</v>
      </c>
      <c r="P385" t="s">
        <v>40</v>
      </c>
      <c r="Q385" t="s">
        <v>57</v>
      </c>
      <c r="R385" t="s">
        <v>29</v>
      </c>
      <c r="S385">
        <v>2019</v>
      </c>
      <c r="T385" t="s">
        <v>58</v>
      </c>
      <c r="U385">
        <v>52012</v>
      </c>
      <c r="V385">
        <v>62.39</v>
      </c>
      <c r="W385">
        <v>37.58</v>
      </c>
      <c r="X385">
        <v>32.82</v>
      </c>
      <c r="Y385">
        <v>80.290000000000006</v>
      </c>
    </row>
    <row r="386" spans="1:25" x14ac:dyDescent="0.3">
      <c r="A386" t="s">
        <v>101</v>
      </c>
      <c r="B386" t="str">
        <f t="shared" ref="B386:B449" si="6">TEXT(A386,"MMM")</f>
        <v>Jun</v>
      </c>
      <c r="C386" t="s">
        <v>32</v>
      </c>
      <c r="D386" t="s">
        <v>33</v>
      </c>
      <c r="E386">
        <v>417539267176.77002</v>
      </c>
      <c r="F386">
        <v>34534.730000000003</v>
      </c>
      <c r="G386">
        <v>11899975206.790001</v>
      </c>
      <c r="H386">
        <v>18747957</v>
      </c>
      <c r="I386">
        <v>22224186</v>
      </c>
      <c r="J386">
        <v>22247376</v>
      </c>
      <c r="K386">
        <v>43.63</v>
      </c>
      <c r="L386">
        <v>1.75</v>
      </c>
      <c r="M386">
        <v>-11.94</v>
      </c>
      <c r="N386">
        <v>16.079999999999998</v>
      </c>
      <c r="O386">
        <v>67</v>
      </c>
      <c r="P386" t="s">
        <v>40</v>
      </c>
      <c r="Q386" t="s">
        <v>47</v>
      </c>
      <c r="R386" t="s">
        <v>35</v>
      </c>
      <c r="S386">
        <v>2014</v>
      </c>
      <c r="T386" t="s">
        <v>36</v>
      </c>
      <c r="U386">
        <v>20030</v>
      </c>
      <c r="V386">
        <v>98.96</v>
      </c>
      <c r="W386">
        <v>79.19</v>
      </c>
      <c r="X386">
        <v>89.55</v>
      </c>
      <c r="Y386">
        <v>15.19</v>
      </c>
    </row>
    <row r="387" spans="1:25" x14ac:dyDescent="0.3">
      <c r="A387" t="s">
        <v>309</v>
      </c>
      <c r="B387" t="str">
        <f t="shared" si="6"/>
        <v>Feb</v>
      </c>
      <c r="C387" t="s">
        <v>49</v>
      </c>
      <c r="D387" t="s">
        <v>50</v>
      </c>
      <c r="E387">
        <v>227902619667.10001</v>
      </c>
      <c r="F387">
        <v>26687.040000000001</v>
      </c>
      <c r="G387">
        <v>17020675918.709999</v>
      </c>
      <c r="H387">
        <v>17287390</v>
      </c>
      <c r="I387">
        <v>18598507</v>
      </c>
      <c r="J387">
        <v>19023554</v>
      </c>
      <c r="K387">
        <v>17.59</v>
      </c>
      <c r="L387">
        <v>-1.32</v>
      </c>
      <c r="M387">
        <v>-10.82</v>
      </c>
      <c r="N387">
        <v>-28.06</v>
      </c>
      <c r="O387">
        <v>98</v>
      </c>
      <c r="P387" t="s">
        <v>51</v>
      </c>
      <c r="Q387" t="s">
        <v>57</v>
      </c>
      <c r="R387" t="s">
        <v>74</v>
      </c>
      <c r="S387">
        <v>2022</v>
      </c>
      <c r="T387" t="s">
        <v>36</v>
      </c>
      <c r="U387">
        <v>53786</v>
      </c>
      <c r="V387">
        <v>96.65</v>
      </c>
      <c r="W387">
        <v>23.31</v>
      </c>
      <c r="X387">
        <v>22.06</v>
      </c>
      <c r="Y387">
        <v>66.37</v>
      </c>
    </row>
    <row r="388" spans="1:25" x14ac:dyDescent="0.3">
      <c r="A388" t="s">
        <v>232</v>
      </c>
      <c r="B388" t="str">
        <f t="shared" si="6"/>
        <v>Oct</v>
      </c>
      <c r="C388" t="s">
        <v>90</v>
      </c>
      <c r="D388" t="s">
        <v>91</v>
      </c>
      <c r="E388">
        <v>741243921668.95996</v>
      </c>
      <c r="F388">
        <v>27408.22</v>
      </c>
      <c r="G388">
        <v>4626886908.8800001</v>
      </c>
      <c r="H388">
        <v>15422979</v>
      </c>
      <c r="I388">
        <v>17204283</v>
      </c>
      <c r="J388">
        <v>17435254</v>
      </c>
      <c r="K388">
        <v>4.3</v>
      </c>
      <c r="L388">
        <v>2.25</v>
      </c>
      <c r="M388">
        <v>-18.170000000000002</v>
      </c>
      <c r="N388">
        <v>26.75</v>
      </c>
      <c r="O388">
        <v>43</v>
      </c>
      <c r="P388" t="s">
        <v>46</v>
      </c>
      <c r="Q388" t="s">
        <v>47</v>
      </c>
      <c r="R388" t="s">
        <v>29</v>
      </c>
      <c r="S388">
        <v>2017</v>
      </c>
      <c r="T388" t="s">
        <v>30</v>
      </c>
      <c r="U388">
        <v>7034</v>
      </c>
      <c r="V388">
        <v>56.09</v>
      </c>
      <c r="W388">
        <v>20.059999999999999</v>
      </c>
      <c r="X388">
        <v>47.37</v>
      </c>
      <c r="Y388">
        <v>50.36</v>
      </c>
    </row>
    <row r="389" spans="1:25" x14ac:dyDescent="0.3">
      <c r="A389" t="s">
        <v>297</v>
      </c>
      <c r="B389" t="str">
        <f t="shared" si="6"/>
        <v>Aug</v>
      </c>
      <c r="C389" t="s">
        <v>68</v>
      </c>
      <c r="D389" t="s">
        <v>69</v>
      </c>
      <c r="E389">
        <v>424758183241.97998</v>
      </c>
      <c r="F389">
        <v>60839.22</v>
      </c>
      <c r="G389">
        <v>22464117586.209999</v>
      </c>
      <c r="H389">
        <v>6348451</v>
      </c>
      <c r="I389">
        <v>11312896</v>
      </c>
      <c r="J389">
        <v>12030150</v>
      </c>
      <c r="K389">
        <v>16.920000000000002</v>
      </c>
      <c r="L389">
        <v>0.89</v>
      </c>
      <c r="M389">
        <v>19.77</v>
      </c>
      <c r="N389">
        <v>38.01</v>
      </c>
      <c r="O389">
        <v>188</v>
      </c>
      <c r="P389" t="s">
        <v>40</v>
      </c>
      <c r="Q389" t="s">
        <v>41</v>
      </c>
      <c r="R389" t="s">
        <v>29</v>
      </c>
      <c r="S389">
        <v>2019</v>
      </c>
      <c r="T389" t="s">
        <v>36</v>
      </c>
      <c r="U389">
        <v>32959</v>
      </c>
      <c r="V389">
        <v>63.5</v>
      </c>
      <c r="W389">
        <v>54.42</v>
      </c>
      <c r="X389">
        <v>49.65</v>
      </c>
      <c r="Y389">
        <v>87.63</v>
      </c>
    </row>
    <row r="390" spans="1:25" x14ac:dyDescent="0.3">
      <c r="A390" t="s">
        <v>222</v>
      </c>
      <c r="B390" t="str">
        <f t="shared" si="6"/>
        <v>Jun</v>
      </c>
      <c r="C390" t="s">
        <v>55</v>
      </c>
      <c r="D390" t="s">
        <v>56</v>
      </c>
      <c r="E390">
        <v>5417307714.7299995</v>
      </c>
      <c r="F390">
        <v>18564.45</v>
      </c>
      <c r="G390">
        <v>17853935788.59</v>
      </c>
      <c r="H390">
        <v>16879953</v>
      </c>
      <c r="I390">
        <v>21242271</v>
      </c>
      <c r="J390">
        <v>21462981</v>
      </c>
      <c r="K390">
        <v>31.42</v>
      </c>
      <c r="L390">
        <v>1.26</v>
      </c>
      <c r="M390">
        <v>17.059999999999999</v>
      </c>
      <c r="N390">
        <v>-9.59</v>
      </c>
      <c r="O390">
        <v>141</v>
      </c>
      <c r="P390" t="s">
        <v>51</v>
      </c>
      <c r="Q390" t="s">
        <v>34</v>
      </c>
      <c r="R390" t="s">
        <v>64</v>
      </c>
      <c r="S390">
        <v>2012</v>
      </c>
      <c r="T390" t="s">
        <v>58</v>
      </c>
      <c r="U390">
        <v>24248</v>
      </c>
      <c r="V390">
        <v>47.66</v>
      </c>
      <c r="W390">
        <v>56.71</v>
      </c>
      <c r="X390">
        <v>49.31</v>
      </c>
      <c r="Y390">
        <v>47.43</v>
      </c>
    </row>
    <row r="391" spans="1:25" x14ac:dyDescent="0.3">
      <c r="A391" t="s">
        <v>103</v>
      </c>
      <c r="B391" t="str">
        <f t="shared" si="6"/>
        <v>Dec</v>
      </c>
      <c r="C391" t="s">
        <v>90</v>
      </c>
      <c r="D391" t="s">
        <v>91</v>
      </c>
      <c r="E391">
        <v>394664735952.52002</v>
      </c>
      <c r="F391">
        <v>43085.88</v>
      </c>
      <c r="G391">
        <v>12387859711.51</v>
      </c>
      <c r="H391">
        <v>13796293</v>
      </c>
      <c r="I391">
        <v>16046195</v>
      </c>
      <c r="J391">
        <v>16135121</v>
      </c>
      <c r="K391">
        <v>50</v>
      </c>
      <c r="L391">
        <v>2.5499999999999998</v>
      </c>
      <c r="M391">
        <v>-4.2300000000000004</v>
      </c>
      <c r="N391">
        <v>27.4</v>
      </c>
      <c r="O391">
        <v>68</v>
      </c>
      <c r="P391" t="s">
        <v>51</v>
      </c>
      <c r="Q391" t="s">
        <v>57</v>
      </c>
      <c r="R391" t="s">
        <v>74</v>
      </c>
      <c r="S391">
        <v>2019</v>
      </c>
      <c r="T391" t="s">
        <v>30</v>
      </c>
      <c r="U391">
        <v>3547</v>
      </c>
      <c r="V391">
        <v>70.239999999999995</v>
      </c>
      <c r="W391">
        <v>34.94</v>
      </c>
      <c r="X391">
        <v>80.37</v>
      </c>
      <c r="Y391">
        <v>24.85</v>
      </c>
    </row>
    <row r="392" spans="1:25" x14ac:dyDescent="0.3">
      <c r="A392" t="s">
        <v>121</v>
      </c>
      <c r="B392" t="str">
        <f t="shared" si="6"/>
        <v>Mar</v>
      </c>
      <c r="C392" t="s">
        <v>55</v>
      </c>
      <c r="D392" t="s">
        <v>56</v>
      </c>
      <c r="E392">
        <v>227421133782.32999</v>
      </c>
      <c r="F392">
        <v>47547.06</v>
      </c>
      <c r="G392">
        <v>25265047991.189999</v>
      </c>
      <c r="H392">
        <v>1844347</v>
      </c>
      <c r="I392">
        <v>4248307</v>
      </c>
      <c r="J392">
        <v>5035300</v>
      </c>
      <c r="K392">
        <v>18.82</v>
      </c>
      <c r="L392">
        <v>-0.12</v>
      </c>
      <c r="M392">
        <v>-14.24</v>
      </c>
      <c r="N392">
        <v>-25.97</v>
      </c>
      <c r="O392">
        <v>27</v>
      </c>
      <c r="P392" t="s">
        <v>51</v>
      </c>
      <c r="Q392" t="s">
        <v>28</v>
      </c>
      <c r="R392" t="s">
        <v>29</v>
      </c>
      <c r="S392">
        <v>2017</v>
      </c>
      <c r="T392" t="s">
        <v>58</v>
      </c>
      <c r="U392">
        <v>2289</v>
      </c>
      <c r="V392">
        <v>50.07</v>
      </c>
      <c r="W392">
        <v>89.84</v>
      </c>
      <c r="X392">
        <v>68.930000000000007</v>
      </c>
      <c r="Y392">
        <v>77.540000000000006</v>
      </c>
    </row>
    <row r="393" spans="1:25" x14ac:dyDescent="0.3">
      <c r="A393" t="s">
        <v>184</v>
      </c>
      <c r="B393" t="str">
        <f t="shared" si="6"/>
        <v>May</v>
      </c>
      <c r="C393" t="s">
        <v>55</v>
      </c>
      <c r="D393" t="s">
        <v>56</v>
      </c>
      <c r="E393">
        <v>761063961555.68005</v>
      </c>
      <c r="F393">
        <v>7912.76</v>
      </c>
      <c r="G393">
        <v>745598854.42999995</v>
      </c>
      <c r="H393">
        <v>1225191</v>
      </c>
      <c r="I393">
        <v>1672666</v>
      </c>
      <c r="J393">
        <v>2278890</v>
      </c>
      <c r="K393">
        <v>7.63</v>
      </c>
      <c r="L393">
        <v>0.28999999999999998</v>
      </c>
      <c r="M393">
        <v>-9.1999999999999993</v>
      </c>
      <c r="N393">
        <v>-37.82</v>
      </c>
      <c r="O393">
        <v>122</v>
      </c>
      <c r="P393" t="s">
        <v>40</v>
      </c>
      <c r="Q393" t="s">
        <v>47</v>
      </c>
      <c r="R393" t="s">
        <v>35</v>
      </c>
      <c r="S393">
        <v>2020</v>
      </c>
      <c r="T393" t="s">
        <v>58</v>
      </c>
      <c r="U393">
        <v>64612</v>
      </c>
      <c r="V393">
        <v>59.59</v>
      </c>
      <c r="W393">
        <v>71.400000000000006</v>
      </c>
      <c r="X393">
        <v>53.59</v>
      </c>
      <c r="Y393">
        <v>45.45</v>
      </c>
    </row>
    <row r="394" spans="1:25" x14ac:dyDescent="0.3">
      <c r="A394" t="s">
        <v>266</v>
      </c>
      <c r="B394" t="str">
        <f t="shared" si="6"/>
        <v>Jul</v>
      </c>
      <c r="C394" t="s">
        <v>38</v>
      </c>
      <c r="D394" t="s">
        <v>39</v>
      </c>
      <c r="E394">
        <v>286869629006.89001</v>
      </c>
      <c r="F394">
        <v>38233.769999999997</v>
      </c>
      <c r="G394">
        <v>7585844620.8599997</v>
      </c>
      <c r="H394">
        <v>13566780</v>
      </c>
      <c r="I394">
        <v>17946883</v>
      </c>
      <c r="J394">
        <v>18192052</v>
      </c>
      <c r="K394">
        <v>2.4900000000000002</v>
      </c>
      <c r="L394">
        <v>-2.02</v>
      </c>
      <c r="M394">
        <v>4.01</v>
      </c>
      <c r="N394">
        <v>-9.92</v>
      </c>
      <c r="O394">
        <v>134</v>
      </c>
      <c r="P394" t="s">
        <v>46</v>
      </c>
      <c r="Q394" t="s">
        <v>34</v>
      </c>
      <c r="R394" t="s">
        <v>74</v>
      </c>
      <c r="S394">
        <v>2019</v>
      </c>
      <c r="T394" t="s">
        <v>36</v>
      </c>
      <c r="U394">
        <v>32122</v>
      </c>
      <c r="V394">
        <v>25.33</v>
      </c>
      <c r="W394">
        <v>25.11</v>
      </c>
      <c r="X394">
        <v>61.91</v>
      </c>
      <c r="Y394">
        <v>62.3</v>
      </c>
    </row>
    <row r="395" spans="1:25" x14ac:dyDescent="0.3">
      <c r="A395" t="s">
        <v>310</v>
      </c>
      <c r="B395" t="str">
        <f t="shared" si="6"/>
        <v>Jan</v>
      </c>
      <c r="C395" t="s">
        <v>55</v>
      </c>
      <c r="D395" t="s">
        <v>56</v>
      </c>
      <c r="E395">
        <v>485622506330.03998</v>
      </c>
      <c r="F395">
        <v>32610.19</v>
      </c>
      <c r="G395">
        <v>24815287067.060001</v>
      </c>
      <c r="H395">
        <v>15176742</v>
      </c>
      <c r="I395">
        <v>18499474</v>
      </c>
      <c r="J395">
        <v>19112302</v>
      </c>
      <c r="K395">
        <v>0.8</v>
      </c>
      <c r="L395">
        <v>0.14000000000000001</v>
      </c>
      <c r="M395">
        <v>-19.52</v>
      </c>
      <c r="N395">
        <v>-20.47</v>
      </c>
      <c r="O395">
        <v>92</v>
      </c>
      <c r="P395" t="s">
        <v>46</v>
      </c>
      <c r="Q395" t="s">
        <v>47</v>
      </c>
      <c r="R395" t="s">
        <v>74</v>
      </c>
      <c r="S395">
        <v>2012</v>
      </c>
      <c r="T395" t="s">
        <v>58</v>
      </c>
      <c r="U395">
        <v>43116</v>
      </c>
      <c r="V395">
        <v>40.68</v>
      </c>
      <c r="W395">
        <v>50.15</v>
      </c>
      <c r="X395">
        <v>49.93</v>
      </c>
      <c r="Y395">
        <v>57.3</v>
      </c>
    </row>
    <row r="396" spans="1:25" x14ac:dyDescent="0.3">
      <c r="A396" t="s">
        <v>205</v>
      </c>
      <c r="B396" t="str">
        <f t="shared" si="6"/>
        <v>Dec</v>
      </c>
      <c r="C396" t="s">
        <v>60</v>
      </c>
      <c r="D396" t="s">
        <v>61</v>
      </c>
      <c r="E396">
        <v>362925749223.41998</v>
      </c>
      <c r="F396">
        <v>8337.59</v>
      </c>
      <c r="G396">
        <v>4650458219.5100002</v>
      </c>
      <c r="H396">
        <v>17339021</v>
      </c>
      <c r="I396">
        <v>20490256</v>
      </c>
      <c r="J396">
        <v>20940334</v>
      </c>
      <c r="K396">
        <v>11.6</v>
      </c>
      <c r="L396">
        <v>1.97</v>
      </c>
      <c r="M396">
        <v>19.170000000000002</v>
      </c>
      <c r="N396">
        <v>-24.56</v>
      </c>
      <c r="O396">
        <v>96</v>
      </c>
      <c r="P396" t="s">
        <v>46</v>
      </c>
      <c r="Q396" t="s">
        <v>57</v>
      </c>
      <c r="R396" t="s">
        <v>64</v>
      </c>
      <c r="S396">
        <v>2020</v>
      </c>
      <c r="T396" t="s">
        <v>30</v>
      </c>
      <c r="U396">
        <v>29496</v>
      </c>
      <c r="V396">
        <v>83.7</v>
      </c>
      <c r="W396">
        <v>29.74</v>
      </c>
      <c r="X396">
        <v>90.2</v>
      </c>
      <c r="Y396">
        <v>90.17</v>
      </c>
    </row>
    <row r="397" spans="1:25" x14ac:dyDescent="0.3">
      <c r="A397" t="s">
        <v>311</v>
      </c>
      <c r="B397" t="str">
        <f t="shared" si="6"/>
        <v>Jan</v>
      </c>
      <c r="C397" t="s">
        <v>32</v>
      </c>
      <c r="D397" t="s">
        <v>33</v>
      </c>
      <c r="E397">
        <v>823978741716.83997</v>
      </c>
      <c r="F397">
        <v>54270.96</v>
      </c>
      <c r="G397">
        <v>27526280123.18</v>
      </c>
      <c r="H397">
        <v>9998001</v>
      </c>
      <c r="I397">
        <v>10645740</v>
      </c>
      <c r="J397">
        <v>10902791</v>
      </c>
      <c r="K397">
        <v>52.04</v>
      </c>
      <c r="L397">
        <v>3.45</v>
      </c>
      <c r="M397">
        <v>7.43</v>
      </c>
      <c r="N397">
        <v>-29.11</v>
      </c>
      <c r="O397">
        <v>191</v>
      </c>
      <c r="P397" t="s">
        <v>27</v>
      </c>
      <c r="Q397" t="s">
        <v>34</v>
      </c>
      <c r="R397" t="s">
        <v>35</v>
      </c>
      <c r="S397">
        <v>2018</v>
      </c>
      <c r="T397" t="s">
        <v>36</v>
      </c>
      <c r="U397">
        <v>21020</v>
      </c>
      <c r="V397">
        <v>37.03</v>
      </c>
      <c r="W397">
        <v>36.9</v>
      </c>
      <c r="X397">
        <v>49.62</v>
      </c>
      <c r="Y397">
        <v>52.63</v>
      </c>
    </row>
    <row r="398" spans="1:25" x14ac:dyDescent="0.3">
      <c r="A398" t="s">
        <v>312</v>
      </c>
      <c r="B398" t="str">
        <f t="shared" si="6"/>
        <v>Aug</v>
      </c>
      <c r="C398" t="s">
        <v>25</v>
      </c>
      <c r="D398" t="s">
        <v>26</v>
      </c>
      <c r="E398">
        <v>26602882872.060001</v>
      </c>
      <c r="F398">
        <v>39278.94</v>
      </c>
      <c r="G398">
        <v>5238603052.1999998</v>
      </c>
      <c r="H398">
        <v>17865600</v>
      </c>
      <c r="I398">
        <v>18668043</v>
      </c>
      <c r="J398">
        <v>19647198</v>
      </c>
      <c r="K398">
        <v>27.96</v>
      </c>
      <c r="L398">
        <v>0.41</v>
      </c>
      <c r="M398">
        <v>-8.6199999999999992</v>
      </c>
      <c r="N398">
        <v>-32.75</v>
      </c>
      <c r="O398">
        <v>197</v>
      </c>
      <c r="P398" t="s">
        <v>27</v>
      </c>
      <c r="Q398" t="s">
        <v>34</v>
      </c>
      <c r="R398" t="s">
        <v>29</v>
      </c>
      <c r="S398">
        <v>2014</v>
      </c>
      <c r="T398" t="s">
        <v>30</v>
      </c>
      <c r="U398">
        <v>29190</v>
      </c>
      <c r="V398">
        <v>21.25</v>
      </c>
      <c r="W398">
        <v>34.340000000000003</v>
      </c>
      <c r="X398">
        <v>96.32</v>
      </c>
      <c r="Y398">
        <v>29.34</v>
      </c>
    </row>
    <row r="399" spans="1:25" x14ac:dyDescent="0.3">
      <c r="A399" t="s">
        <v>280</v>
      </c>
      <c r="B399" t="str">
        <f t="shared" si="6"/>
        <v>Nov</v>
      </c>
      <c r="C399" t="s">
        <v>32</v>
      </c>
      <c r="D399" t="s">
        <v>33</v>
      </c>
      <c r="E399">
        <v>75435078885.309998</v>
      </c>
      <c r="F399">
        <v>43918.65</v>
      </c>
      <c r="G399">
        <v>30166282459.07</v>
      </c>
      <c r="H399">
        <v>8713986</v>
      </c>
      <c r="I399">
        <v>9526731</v>
      </c>
      <c r="J399">
        <v>9579752</v>
      </c>
      <c r="K399">
        <v>28.57</v>
      </c>
      <c r="L399">
        <v>1.1299999999999999</v>
      </c>
      <c r="M399">
        <v>15.47</v>
      </c>
      <c r="N399">
        <v>29.34</v>
      </c>
      <c r="O399">
        <v>92</v>
      </c>
      <c r="P399" t="s">
        <v>46</v>
      </c>
      <c r="Q399" t="s">
        <v>57</v>
      </c>
      <c r="R399" t="s">
        <v>74</v>
      </c>
      <c r="S399">
        <v>2010</v>
      </c>
      <c r="T399" t="s">
        <v>36</v>
      </c>
      <c r="U399">
        <v>48427</v>
      </c>
      <c r="V399">
        <v>63.22</v>
      </c>
      <c r="W399">
        <v>94.67</v>
      </c>
      <c r="X399">
        <v>59.72</v>
      </c>
      <c r="Y399">
        <v>74.260000000000005</v>
      </c>
    </row>
    <row r="400" spans="1:25" x14ac:dyDescent="0.3">
      <c r="A400" t="s">
        <v>313</v>
      </c>
      <c r="B400" t="str">
        <f t="shared" si="6"/>
        <v>Nov</v>
      </c>
      <c r="C400" t="s">
        <v>78</v>
      </c>
      <c r="D400" t="s">
        <v>79</v>
      </c>
      <c r="E400">
        <v>679322646987.69995</v>
      </c>
      <c r="F400">
        <v>65346.720000000001</v>
      </c>
      <c r="G400">
        <v>44319591842.470001</v>
      </c>
      <c r="H400">
        <v>6389456</v>
      </c>
      <c r="I400">
        <v>6695912</v>
      </c>
      <c r="J400">
        <v>6785337</v>
      </c>
      <c r="K400">
        <v>24.08</v>
      </c>
      <c r="L400">
        <v>2.96</v>
      </c>
      <c r="M400">
        <v>-9.4</v>
      </c>
      <c r="N400">
        <v>18.170000000000002</v>
      </c>
      <c r="O400">
        <v>94</v>
      </c>
      <c r="P400" t="s">
        <v>40</v>
      </c>
      <c r="Q400" t="s">
        <v>41</v>
      </c>
      <c r="R400" t="s">
        <v>42</v>
      </c>
      <c r="S400">
        <v>2021</v>
      </c>
      <c r="T400" t="s">
        <v>36</v>
      </c>
      <c r="U400">
        <v>16820</v>
      </c>
      <c r="V400">
        <v>72.489999999999995</v>
      </c>
      <c r="W400">
        <v>41.56</v>
      </c>
      <c r="X400">
        <v>57.12</v>
      </c>
      <c r="Y400">
        <v>61.85</v>
      </c>
    </row>
    <row r="401" spans="1:25" x14ac:dyDescent="0.3">
      <c r="A401" t="s">
        <v>140</v>
      </c>
      <c r="B401" t="str">
        <f t="shared" si="6"/>
        <v>Jun</v>
      </c>
      <c r="C401" t="s">
        <v>32</v>
      </c>
      <c r="D401" t="s">
        <v>33</v>
      </c>
      <c r="E401">
        <v>42233325628.480003</v>
      </c>
      <c r="F401">
        <v>54352.41</v>
      </c>
      <c r="G401">
        <v>33427487846.57</v>
      </c>
      <c r="H401">
        <v>12604189</v>
      </c>
      <c r="I401">
        <v>16829570</v>
      </c>
      <c r="J401">
        <v>16890666</v>
      </c>
      <c r="K401">
        <v>23.84</v>
      </c>
      <c r="L401">
        <v>0.86</v>
      </c>
      <c r="M401">
        <v>-18.96</v>
      </c>
      <c r="N401">
        <v>-16.36</v>
      </c>
      <c r="O401">
        <v>38</v>
      </c>
      <c r="P401" t="s">
        <v>46</v>
      </c>
      <c r="Q401" t="s">
        <v>34</v>
      </c>
      <c r="R401" t="s">
        <v>74</v>
      </c>
      <c r="S401">
        <v>2019</v>
      </c>
      <c r="T401" t="s">
        <v>36</v>
      </c>
      <c r="U401">
        <v>6291</v>
      </c>
      <c r="V401">
        <v>24.93</v>
      </c>
      <c r="W401">
        <v>52.8</v>
      </c>
      <c r="X401">
        <v>12.51</v>
      </c>
      <c r="Y401">
        <v>89.15</v>
      </c>
    </row>
    <row r="402" spans="1:25" x14ac:dyDescent="0.3">
      <c r="A402" t="s">
        <v>314</v>
      </c>
      <c r="B402" t="str">
        <f t="shared" si="6"/>
        <v>Feb</v>
      </c>
      <c r="C402" t="s">
        <v>78</v>
      </c>
      <c r="D402" t="s">
        <v>79</v>
      </c>
      <c r="E402">
        <v>261573906169.20999</v>
      </c>
      <c r="F402">
        <v>69090.880000000005</v>
      </c>
      <c r="G402">
        <v>40754059889.540001</v>
      </c>
      <c r="H402">
        <v>14838829</v>
      </c>
      <c r="I402">
        <v>15695126</v>
      </c>
      <c r="J402">
        <v>16255546</v>
      </c>
      <c r="K402">
        <v>12.75</v>
      </c>
      <c r="L402">
        <v>-0.22</v>
      </c>
      <c r="M402">
        <v>-7.87</v>
      </c>
      <c r="N402">
        <v>-18.02</v>
      </c>
      <c r="O402">
        <v>195</v>
      </c>
      <c r="P402" t="s">
        <v>51</v>
      </c>
      <c r="Q402" t="s">
        <v>57</v>
      </c>
      <c r="R402" t="s">
        <v>29</v>
      </c>
      <c r="S402">
        <v>2015</v>
      </c>
      <c r="T402" t="s">
        <v>36</v>
      </c>
      <c r="U402">
        <v>36893</v>
      </c>
      <c r="V402">
        <v>64.06</v>
      </c>
      <c r="W402">
        <v>30.03</v>
      </c>
      <c r="X402">
        <v>48.01</v>
      </c>
      <c r="Y402">
        <v>11.93</v>
      </c>
    </row>
    <row r="403" spans="1:25" x14ac:dyDescent="0.3">
      <c r="A403" t="s">
        <v>288</v>
      </c>
      <c r="B403" t="str">
        <f t="shared" si="6"/>
        <v>Mar</v>
      </c>
      <c r="C403" t="s">
        <v>38</v>
      </c>
      <c r="D403" t="s">
        <v>39</v>
      </c>
      <c r="E403">
        <v>386655466331.59998</v>
      </c>
      <c r="F403">
        <v>66474.63</v>
      </c>
      <c r="G403">
        <v>47737060609.260002</v>
      </c>
      <c r="H403">
        <v>4674024</v>
      </c>
      <c r="I403">
        <v>8762853</v>
      </c>
      <c r="J403">
        <v>9752729</v>
      </c>
      <c r="K403">
        <v>21.51</v>
      </c>
      <c r="L403">
        <v>-4.12</v>
      </c>
      <c r="M403">
        <v>13.42</v>
      </c>
      <c r="N403">
        <v>-28.07</v>
      </c>
      <c r="O403">
        <v>112</v>
      </c>
      <c r="P403" t="s">
        <v>51</v>
      </c>
      <c r="Q403" t="s">
        <v>28</v>
      </c>
      <c r="R403" t="s">
        <v>42</v>
      </c>
      <c r="S403">
        <v>2021</v>
      </c>
      <c r="T403" t="s">
        <v>36</v>
      </c>
      <c r="U403">
        <v>1525</v>
      </c>
      <c r="V403">
        <v>78.930000000000007</v>
      </c>
      <c r="W403">
        <v>79.22</v>
      </c>
      <c r="X403">
        <v>33.659999999999997</v>
      </c>
      <c r="Y403">
        <v>43.07</v>
      </c>
    </row>
    <row r="404" spans="1:25" x14ac:dyDescent="0.3">
      <c r="A404" t="s">
        <v>315</v>
      </c>
      <c r="B404" t="str">
        <f t="shared" si="6"/>
        <v>Sep</v>
      </c>
      <c r="C404" t="s">
        <v>49</v>
      </c>
      <c r="D404" t="s">
        <v>50</v>
      </c>
      <c r="E404">
        <v>190752273309.42999</v>
      </c>
      <c r="F404">
        <v>30699.98</v>
      </c>
      <c r="G404">
        <v>49257833825.050003</v>
      </c>
      <c r="H404">
        <v>3597071</v>
      </c>
      <c r="I404">
        <v>4719814</v>
      </c>
      <c r="J404">
        <v>5277799</v>
      </c>
      <c r="K404">
        <v>30.56</v>
      </c>
      <c r="L404">
        <v>-1.1499999999999999</v>
      </c>
      <c r="M404">
        <v>4.74</v>
      </c>
      <c r="N404">
        <v>-27.16</v>
      </c>
      <c r="O404">
        <v>188</v>
      </c>
      <c r="P404" t="s">
        <v>27</v>
      </c>
      <c r="Q404" t="s">
        <v>34</v>
      </c>
      <c r="R404" t="s">
        <v>64</v>
      </c>
      <c r="S404">
        <v>2018</v>
      </c>
      <c r="T404" t="s">
        <v>36</v>
      </c>
      <c r="U404">
        <v>13932</v>
      </c>
      <c r="V404">
        <v>82.29</v>
      </c>
      <c r="W404">
        <v>71.06</v>
      </c>
      <c r="X404">
        <v>70.930000000000007</v>
      </c>
      <c r="Y404">
        <v>40.39</v>
      </c>
    </row>
    <row r="405" spans="1:25" x14ac:dyDescent="0.3">
      <c r="A405" t="s">
        <v>316</v>
      </c>
      <c r="B405" t="str">
        <f t="shared" si="6"/>
        <v>Feb</v>
      </c>
      <c r="C405" t="s">
        <v>38</v>
      </c>
      <c r="D405" t="s">
        <v>39</v>
      </c>
      <c r="E405">
        <v>91162813956.479996</v>
      </c>
      <c r="F405">
        <v>15116.2</v>
      </c>
      <c r="G405">
        <v>13525040540.4</v>
      </c>
      <c r="H405">
        <v>2500058</v>
      </c>
      <c r="I405">
        <v>6286468</v>
      </c>
      <c r="J405">
        <v>6496791</v>
      </c>
      <c r="K405">
        <v>9.74</v>
      </c>
      <c r="L405">
        <v>3.41</v>
      </c>
      <c r="M405">
        <v>19.579999999999998</v>
      </c>
      <c r="N405">
        <v>-31.54</v>
      </c>
      <c r="O405">
        <v>26</v>
      </c>
      <c r="P405" t="s">
        <v>46</v>
      </c>
      <c r="Q405" t="s">
        <v>47</v>
      </c>
      <c r="R405" t="s">
        <v>29</v>
      </c>
      <c r="S405">
        <v>2021</v>
      </c>
      <c r="T405" t="s">
        <v>36</v>
      </c>
      <c r="U405">
        <v>21124</v>
      </c>
      <c r="V405">
        <v>95.97</v>
      </c>
      <c r="W405">
        <v>79.73</v>
      </c>
      <c r="X405">
        <v>45.86</v>
      </c>
      <c r="Y405">
        <v>37.33</v>
      </c>
    </row>
    <row r="406" spans="1:25" x14ac:dyDescent="0.3">
      <c r="A406" t="s">
        <v>111</v>
      </c>
      <c r="B406" t="str">
        <f t="shared" si="6"/>
        <v>Feb</v>
      </c>
      <c r="C406" t="s">
        <v>25</v>
      </c>
      <c r="D406" t="s">
        <v>26</v>
      </c>
      <c r="E406">
        <v>106242800225.92</v>
      </c>
      <c r="F406">
        <v>35219.230000000003</v>
      </c>
      <c r="G406">
        <v>3988797424.5700002</v>
      </c>
      <c r="H406">
        <v>10749610</v>
      </c>
      <c r="I406">
        <v>12930338</v>
      </c>
      <c r="J406">
        <v>13486441</v>
      </c>
      <c r="K406">
        <v>40.5</v>
      </c>
      <c r="L406">
        <v>4.53</v>
      </c>
      <c r="M406">
        <v>-13.37</v>
      </c>
      <c r="N406">
        <v>28.67</v>
      </c>
      <c r="O406">
        <v>34</v>
      </c>
      <c r="P406" t="s">
        <v>27</v>
      </c>
      <c r="Q406" t="s">
        <v>41</v>
      </c>
      <c r="R406" t="s">
        <v>42</v>
      </c>
      <c r="S406">
        <v>2012</v>
      </c>
      <c r="T406" t="s">
        <v>30</v>
      </c>
      <c r="U406">
        <v>63301</v>
      </c>
      <c r="V406">
        <v>11.57</v>
      </c>
      <c r="W406">
        <v>35.1</v>
      </c>
      <c r="X406">
        <v>82.66</v>
      </c>
      <c r="Y406">
        <v>71.75</v>
      </c>
    </row>
    <row r="407" spans="1:25" x14ac:dyDescent="0.3">
      <c r="A407" t="s">
        <v>254</v>
      </c>
      <c r="B407" t="str">
        <f t="shared" si="6"/>
        <v>Oct</v>
      </c>
      <c r="C407" t="s">
        <v>55</v>
      </c>
      <c r="D407" t="s">
        <v>56</v>
      </c>
      <c r="E407">
        <v>329223198619.52002</v>
      </c>
      <c r="F407">
        <v>42135.98</v>
      </c>
      <c r="G407">
        <v>26141358775.380001</v>
      </c>
      <c r="H407">
        <v>14574232</v>
      </c>
      <c r="I407">
        <v>14619636</v>
      </c>
      <c r="J407">
        <v>14721220</v>
      </c>
      <c r="K407">
        <v>36.130000000000003</v>
      </c>
      <c r="L407">
        <v>4.9800000000000004</v>
      </c>
      <c r="M407">
        <v>-12.59</v>
      </c>
      <c r="N407">
        <v>15.83</v>
      </c>
      <c r="O407">
        <v>148</v>
      </c>
      <c r="P407" t="s">
        <v>27</v>
      </c>
      <c r="Q407" t="s">
        <v>57</v>
      </c>
      <c r="R407" t="s">
        <v>35</v>
      </c>
      <c r="S407">
        <v>2016</v>
      </c>
      <c r="T407" t="s">
        <v>58</v>
      </c>
      <c r="U407">
        <v>11991</v>
      </c>
      <c r="V407">
        <v>94.06</v>
      </c>
      <c r="W407">
        <v>93.08</v>
      </c>
      <c r="X407">
        <v>41.57</v>
      </c>
      <c r="Y407">
        <v>28.69</v>
      </c>
    </row>
    <row r="408" spans="1:25" x14ac:dyDescent="0.3">
      <c r="A408" t="s">
        <v>293</v>
      </c>
      <c r="B408" t="str">
        <f t="shared" si="6"/>
        <v>Aug</v>
      </c>
      <c r="C408" t="s">
        <v>38</v>
      </c>
      <c r="D408" t="s">
        <v>39</v>
      </c>
      <c r="E408">
        <v>498656401457.52002</v>
      </c>
      <c r="F408">
        <v>8242.18</v>
      </c>
      <c r="G408">
        <v>46385734981.550003</v>
      </c>
      <c r="H408">
        <v>16588421</v>
      </c>
      <c r="I408">
        <v>20770803</v>
      </c>
      <c r="J408">
        <v>20913252</v>
      </c>
      <c r="K408">
        <v>36.97</v>
      </c>
      <c r="L408">
        <v>-4</v>
      </c>
      <c r="M408">
        <v>-14.68</v>
      </c>
      <c r="N408">
        <v>-15.03</v>
      </c>
      <c r="O408">
        <v>109</v>
      </c>
      <c r="P408" t="s">
        <v>53</v>
      </c>
      <c r="Q408" t="s">
        <v>57</v>
      </c>
      <c r="R408" t="s">
        <v>35</v>
      </c>
      <c r="S408">
        <v>2023</v>
      </c>
      <c r="T408" t="s">
        <v>36</v>
      </c>
      <c r="U408">
        <v>60577</v>
      </c>
      <c r="V408">
        <v>56.97</v>
      </c>
      <c r="W408">
        <v>20.7</v>
      </c>
      <c r="X408">
        <v>70.739999999999995</v>
      </c>
      <c r="Y408">
        <v>23.16</v>
      </c>
    </row>
    <row r="409" spans="1:25" x14ac:dyDescent="0.3">
      <c r="A409" t="s">
        <v>317</v>
      </c>
      <c r="B409" t="str">
        <f t="shared" si="6"/>
        <v>Nov</v>
      </c>
      <c r="C409" t="s">
        <v>90</v>
      </c>
      <c r="D409" t="s">
        <v>91</v>
      </c>
      <c r="E409">
        <v>814950172333.47998</v>
      </c>
      <c r="F409">
        <v>64993.17</v>
      </c>
      <c r="G409">
        <v>35812961993.779999</v>
      </c>
      <c r="H409">
        <v>11402327</v>
      </c>
      <c r="I409">
        <v>13166002</v>
      </c>
      <c r="J409">
        <v>13275195</v>
      </c>
      <c r="K409">
        <v>38.68</v>
      </c>
      <c r="L409">
        <v>-0.3</v>
      </c>
      <c r="M409">
        <v>-13.35</v>
      </c>
      <c r="N409">
        <v>11.87</v>
      </c>
      <c r="O409">
        <v>9</v>
      </c>
      <c r="P409" t="s">
        <v>46</v>
      </c>
      <c r="Q409" t="s">
        <v>47</v>
      </c>
      <c r="R409" t="s">
        <v>35</v>
      </c>
      <c r="S409">
        <v>2015</v>
      </c>
      <c r="T409" t="s">
        <v>30</v>
      </c>
      <c r="U409">
        <v>534</v>
      </c>
      <c r="V409">
        <v>37.53</v>
      </c>
      <c r="W409">
        <v>95.51</v>
      </c>
      <c r="X409">
        <v>84.27</v>
      </c>
      <c r="Y409">
        <v>49.91</v>
      </c>
    </row>
    <row r="410" spans="1:25" x14ac:dyDescent="0.3">
      <c r="A410" t="s">
        <v>318</v>
      </c>
      <c r="B410" t="str">
        <f t="shared" si="6"/>
        <v>Apr</v>
      </c>
      <c r="C410" t="s">
        <v>68</v>
      </c>
      <c r="D410" t="s">
        <v>69</v>
      </c>
      <c r="E410">
        <v>511671630056.78003</v>
      </c>
      <c r="F410">
        <v>23118.22</v>
      </c>
      <c r="G410">
        <v>38040404307.269997</v>
      </c>
      <c r="H410">
        <v>7099888</v>
      </c>
      <c r="I410">
        <v>8224050</v>
      </c>
      <c r="J410">
        <v>8806469</v>
      </c>
      <c r="K410">
        <v>55.25</v>
      </c>
      <c r="L410">
        <v>-0.97</v>
      </c>
      <c r="M410">
        <v>12.35</v>
      </c>
      <c r="N410">
        <v>-6.9</v>
      </c>
      <c r="O410">
        <v>184</v>
      </c>
      <c r="P410" t="s">
        <v>46</v>
      </c>
      <c r="Q410" t="s">
        <v>41</v>
      </c>
      <c r="R410" t="s">
        <v>35</v>
      </c>
      <c r="S410">
        <v>2019</v>
      </c>
      <c r="T410" t="s">
        <v>36</v>
      </c>
      <c r="U410">
        <v>26264</v>
      </c>
      <c r="V410">
        <v>42.6</v>
      </c>
      <c r="W410">
        <v>35.1</v>
      </c>
      <c r="X410">
        <v>22.21</v>
      </c>
      <c r="Y410">
        <v>63.09</v>
      </c>
    </row>
    <row r="411" spans="1:25" x14ac:dyDescent="0.3">
      <c r="A411" t="s">
        <v>153</v>
      </c>
      <c r="B411" t="str">
        <f t="shared" si="6"/>
        <v>Jan</v>
      </c>
      <c r="C411" t="s">
        <v>44</v>
      </c>
      <c r="D411" t="s">
        <v>45</v>
      </c>
      <c r="E411">
        <v>330911898046.12</v>
      </c>
      <c r="F411">
        <v>45689.63</v>
      </c>
      <c r="G411">
        <v>6282498865.6300001</v>
      </c>
      <c r="H411">
        <v>6496528</v>
      </c>
      <c r="I411">
        <v>9497727</v>
      </c>
      <c r="J411">
        <v>9747781</v>
      </c>
      <c r="K411">
        <v>12.19</v>
      </c>
      <c r="L411">
        <v>-2.5</v>
      </c>
      <c r="M411">
        <v>19.7</v>
      </c>
      <c r="N411">
        <v>5.87</v>
      </c>
      <c r="O411">
        <v>144</v>
      </c>
      <c r="P411" t="s">
        <v>46</v>
      </c>
      <c r="Q411" t="s">
        <v>34</v>
      </c>
      <c r="R411" t="s">
        <v>64</v>
      </c>
      <c r="S411">
        <v>2015</v>
      </c>
      <c r="T411" t="s">
        <v>36</v>
      </c>
      <c r="U411">
        <v>54530</v>
      </c>
      <c r="V411">
        <v>38.44</v>
      </c>
      <c r="W411">
        <v>24.83</v>
      </c>
      <c r="X411">
        <v>97.52</v>
      </c>
      <c r="Y411">
        <v>42.46</v>
      </c>
    </row>
    <row r="412" spans="1:25" x14ac:dyDescent="0.3">
      <c r="A412" t="s">
        <v>319</v>
      </c>
      <c r="B412" t="str">
        <f t="shared" si="6"/>
        <v>Sep</v>
      </c>
      <c r="C412" t="s">
        <v>68</v>
      </c>
      <c r="D412" t="s">
        <v>69</v>
      </c>
      <c r="E412">
        <v>179936876213.17999</v>
      </c>
      <c r="F412">
        <v>20623.43</v>
      </c>
      <c r="G412">
        <v>44990862198.790001</v>
      </c>
      <c r="H412">
        <v>9871294</v>
      </c>
      <c r="I412">
        <v>10134813</v>
      </c>
      <c r="J412">
        <v>11045422</v>
      </c>
      <c r="K412">
        <v>43.87</v>
      </c>
      <c r="L412">
        <v>3.94</v>
      </c>
      <c r="M412">
        <v>-14.73</v>
      </c>
      <c r="N412">
        <v>29.81</v>
      </c>
      <c r="O412">
        <v>126</v>
      </c>
      <c r="P412" t="s">
        <v>27</v>
      </c>
      <c r="Q412" t="s">
        <v>28</v>
      </c>
      <c r="R412" t="s">
        <v>64</v>
      </c>
      <c r="S412">
        <v>2011</v>
      </c>
      <c r="T412" t="s">
        <v>36</v>
      </c>
      <c r="U412">
        <v>10137</v>
      </c>
      <c r="V412">
        <v>68.989999999999995</v>
      </c>
      <c r="W412">
        <v>82.86</v>
      </c>
      <c r="X412">
        <v>11.26</v>
      </c>
      <c r="Y412">
        <v>47.27</v>
      </c>
    </row>
    <row r="413" spans="1:25" x14ac:dyDescent="0.3">
      <c r="A413" t="s">
        <v>311</v>
      </c>
      <c r="B413" t="str">
        <f t="shared" si="6"/>
        <v>Jan</v>
      </c>
      <c r="C413" t="s">
        <v>49</v>
      </c>
      <c r="D413" t="s">
        <v>50</v>
      </c>
      <c r="E413">
        <v>152255905011.81</v>
      </c>
      <c r="F413">
        <v>8480.17</v>
      </c>
      <c r="G413">
        <v>7520197823.8999996</v>
      </c>
      <c r="H413">
        <v>6494668</v>
      </c>
      <c r="I413">
        <v>9012832</v>
      </c>
      <c r="J413">
        <v>9243074</v>
      </c>
      <c r="K413">
        <v>51.12</v>
      </c>
      <c r="L413">
        <v>4.1900000000000004</v>
      </c>
      <c r="M413">
        <v>-10.029999999999999</v>
      </c>
      <c r="N413">
        <v>9.3000000000000007</v>
      </c>
      <c r="O413">
        <v>123</v>
      </c>
      <c r="P413" t="s">
        <v>53</v>
      </c>
      <c r="Q413" t="s">
        <v>57</v>
      </c>
      <c r="R413" t="s">
        <v>29</v>
      </c>
      <c r="S413">
        <v>2019</v>
      </c>
      <c r="T413" t="s">
        <v>36</v>
      </c>
      <c r="U413">
        <v>53361</v>
      </c>
      <c r="V413">
        <v>29.34</v>
      </c>
      <c r="W413">
        <v>82.47</v>
      </c>
      <c r="X413">
        <v>12.06</v>
      </c>
      <c r="Y413">
        <v>56.06</v>
      </c>
    </row>
    <row r="414" spans="1:25" x14ac:dyDescent="0.3">
      <c r="A414" t="s">
        <v>264</v>
      </c>
      <c r="B414" t="str">
        <f t="shared" si="6"/>
        <v>Feb</v>
      </c>
      <c r="C414" t="s">
        <v>90</v>
      </c>
      <c r="D414" t="s">
        <v>91</v>
      </c>
      <c r="E414">
        <v>258518091834.31</v>
      </c>
      <c r="F414">
        <v>55535.68</v>
      </c>
      <c r="G414">
        <v>42544797929.910004</v>
      </c>
      <c r="H414">
        <v>9489862</v>
      </c>
      <c r="I414">
        <v>14035197</v>
      </c>
      <c r="J414">
        <v>14237831</v>
      </c>
      <c r="K414">
        <v>34.64</v>
      </c>
      <c r="L414">
        <v>0.41</v>
      </c>
      <c r="M414">
        <v>14.51</v>
      </c>
      <c r="N414">
        <v>-26.42</v>
      </c>
      <c r="O414">
        <v>150</v>
      </c>
      <c r="P414" t="s">
        <v>40</v>
      </c>
      <c r="Q414" t="s">
        <v>47</v>
      </c>
      <c r="R414" t="s">
        <v>64</v>
      </c>
      <c r="S414">
        <v>2022</v>
      </c>
      <c r="T414" t="s">
        <v>30</v>
      </c>
      <c r="U414">
        <v>61786</v>
      </c>
      <c r="V414">
        <v>23.25</v>
      </c>
      <c r="W414">
        <v>25.74</v>
      </c>
      <c r="X414">
        <v>14.09</v>
      </c>
      <c r="Y414">
        <v>61.22</v>
      </c>
    </row>
    <row r="415" spans="1:25" x14ac:dyDescent="0.3">
      <c r="A415" t="s">
        <v>139</v>
      </c>
      <c r="B415" t="str">
        <f t="shared" si="6"/>
        <v>Jul</v>
      </c>
      <c r="C415" t="s">
        <v>44</v>
      </c>
      <c r="D415" t="s">
        <v>45</v>
      </c>
      <c r="E415">
        <v>81669738568.690002</v>
      </c>
      <c r="F415">
        <v>58422.92</v>
      </c>
      <c r="G415">
        <v>22738671649.650002</v>
      </c>
      <c r="H415">
        <v>4341217</v>
      </c>
      <c r="I415">
        <v>6795782</v>
      </c>
      <c r="J415">
        <v>7378391</v>
      </c>
      <c r="K415">
        <v>48.92</v>
      </c>
      <c r="L415">
        <v>-3.92</v>
      </c>
      <c r="M415">
        <v>-9.6199999999999992</v>
      </c>
      <c r="N415">
        <v>-13.99</v>
      </c>
      <c r="O415">
        <v>29</v>
      </c>
      <c r="P415" t="s">
        <v>51</v>
      </c>
      <c r="Q415" t="s">
        <v>57</v>
      </c>
      <c r="R415" t="s">
        <v>42</v>
      </c>
      <c r="S415">
        <v>2014</v>
      </c>
      <c r="T415" t="s">
        <v>36</v>
      </c>
      <c r="U415">
        <v>17148</v>
      </c>
      <c r="V415">
        <v>96.95</v>
      </c>
      <c r="W415">
        <v>54.56</v>
      </c>
      <c r="X415">
        <v>26.23</v>
      </c>
      <c r="Y415">
        <v>45.5</v>
      </c>
    </row>
    <row r="416" spans="1:25" x14ac:dyDescent="0.3">
      <c r="A416" t="s">
        <v>320</v>
      </c>
      <c r="B416" t="str">
        <f t="shared" si="6"/>
        <v>Mar</v>
      </c>
      <c r="C416" t="s">
        <v>55</v>
      </c>
      <c r="D416" t="s">
        <v>56</v>
      </c>
      <c r="E416">
        <v>592998146265.59998</v>
      </c>
      <c r="F416">
        <v>31091.62</v>
      </c>
      <c r="G416">
        <v>18488538136.220001</v>
      </c>
      <c r="H416">
        <v>15427943</v>
      </c>
      <c r="I416">
        <v>16924686</v>
      </c>
      <c r="J416">
        <v>17879281</v>
      </c>
      <c r="K416">
        <v>12.73</v>
      </c>
      <c r="L416">
        <v>-0.25</v>
      </c>
      <c r="M416">
        <v>-6.38</v>
      </c>
      <c r="N416">
        <v>-35.909999999999997</v>
      </c>
      <c r="O416">
        <v>131</v>
      </c>
      <c r="P416" t="s">
        <v>27</v>
      </c>
      <c r="Q416" t="s">
        <v>47</v>
      </c>
      <c r="R416" t="s">
        <v>29</v>
      </c>
      <c r="S416">
        <v>2015</v>
      </c>
      <c r="T416" t="s">
        <v>58</v>
      </c>
      <c r="U416">
        <v>28797</v>
      </c>
      <c r="V416">
        <v>96.57</v>
      </c>
      <c r="W416">
        <v>69.88</v>
      </c>
      <c r="X416">
        <v>15.45</v>
      </c>
      <c r="Y416">
        <v>92.52</v>
      </c>
    </row>
    <row r="417" spans="1:25" x14ac:dyDescent="0.3">
      <c r="A417" t="s">
        <v>167</v>
      </c>
      <c r="B417" t="str">
        <f t="shared" si="6"/>
        <v>Jun</v>
      </c>
      <c r="C417" t="s">
        <v>55</v>
      </c>
      <c r="D417" t="s">
        <v>56</v>
      </c>
      <c r="E417">
        <v>252370570888.79999</v>
      </c>
      <c r="F417">
        <v>60347.03</v>
      </c>
      <c r="G417">
        <v>20988953583.950001</v>
      </c>
      <c r="H417">
        <v>6021123</v>
      </c>
      <c r="I417">
        <v>9704406</v>
      </c>
      <c r="J417">
        <v>10218584</v>
      </c>
      <c r="K417">
        <v>26.5</v>
      </c>
      <c r="L417">
        <v>-0.66</v>
      </c>
      <c r="M417">
        <v>-11.69</v>
      </c>
      <c r="N417">
        <v>38.6</v>
      </c>
      <c r="O417">
        <v>165</v>
      </c>
      <c r="P417" t="s">
        <v>53</v>
      </c>
      <c r="Q417" t="s">
        <v>47</v>
      </c>
      <c r="R417" t="s">
        <v>74</v>
      </c>
      <c r="S417">
        <v>2013</v>
      </c>
      <c r="T417" t="s">
        <v>58</v>
      </c>
      <c r="U417">
        <v>33777</v>
      </c>
      <c r="V417">
        <v>54.52</v>
      </c>
      <c r="W417">
        <v>89.95</v>
      </c>
      <c r="X417">
        <v>96.39</v>
      </c>
      <c r="Y417">
        <v>31.94</v>
      </c>
    </row>
    <row r="418" spans="1:25" x14ac:dyDescent="0.3">
      <c r="A418" t="s">
        <v>218</v>
      </c>
      <c r="B418" t="str">
        <f t="shared" si="6"/>
        <v>Feb</v>
      </c>
      <c r="C418" t="s">
        <v>49</v>
      </c>
      <c r="D418" t="s">
        <v>50</v>
      </c>
      <c r="E418">
        <v>419023946799.28003</v>
      </c>
      <c r="F418">
        <v>4278.07</v>
      </c>
      <c r="G418">
        <v>36031168624.790001</v>
      </c>
      <c r="H418">
        <v>11881268</v>
      </c>
      <c r="I418">
        <v>12355404</v>
      </c>
      <c r="J418">
        <v>12649633</v>
      </c>
      <c r="K418">
        <v>19.78</v>
      </c>
      <c r="L418">
        <v>2</v>
      </c>
      <c r="M418">
        <v>-16.47</v>
      </c>
      <c r="N418">
        <v>-15.81</v>
      </c>
      <c r="O418">
        <v>6</v>
      </c>
      <c r="P418" t="s">
        <v>27</v>
      </c>
      <c r="Q418" t="s">
        <v>41</v>
      </c>
      <c r="R418" t="s">
        <v>35</v>
      </c>
      <c r="S418">
        <v>2010</v>
      </c>
      <c r="T418" t="s">
        <v>36</v>
      </c>
      <c r="U418">
        <v>6563</v>
      </c>
      <c r="V418">
        <v>34.81</v>
      </c>
      <c r="W418">
        <v>70.55</v>
      </c>
      <c r="X418">
        <v>18.170000000000002</v>
      </c>
      <c r="Y418">
        <v>72.81</v>
      </c>
    </row>
    <row r="419" spans="1:25" x14ac:dyDescent="0.3">
      <c r="A419" t="s">
        <v>73</v>
      </c>
      <c r="B419" t="str">
        <f t="shared" si="6"/>
        <v>May</v>
      </c>
      <c r="C419" t="s">
        <v>78</v>
      </c>
      <c r="D419" t="s">
        <v>79</v>
      </c>
      <c r="E419">
        <v>474376900281.90997</v>
      </c>
      <c r="F419">
        <v>7221.84</v>
      </c>
      <c r="G419">
        <v>23118126058.759998</v>
      </c>
      <c r="H419">
        <v>3883531</v>
      </c>
      <c r="I419">
        <v>4820842</v>
      </c>
      <c r="J419">
        <v>5342136</v>
      </c>
      <c r="K419">
        <v>30.24</v>
      </c>
      <c r="L419">
        <v>-3.67</v>
      </c>
      <c r="M419">
        <v>-12.08</v>
      </c>
      <c r="N419">
        <v>-36.36</v>
      </c>
      <c r="O419">
        <v>59</v>
      </c>
      <c r="P419" t="s">
        <v>51</v>
      </c>
      <c r="Q419" t="s">
        <v>57</v>
      </c>
      <c r="R419" t="s">
        <v>74</v>
      </c>
      <c r="S419">
        <v>2020</v>
      </c>
      <c r="T419" t="s">
        <v>36</v>
      </c>
      <c r="U419">
        <v>13070</v>
      </c>
      <c r="V419">
        <v>97.87</v>
      </c>
      <c r="W419">
        <v>23.87</v>
      </c>
      <c r="X419">
        <v>42.18</v>
      </c>
      <c r="Y419">
        <v>55.56</v>
      </c>
    </row>
    <row r="420" spans="1:25" x14ac:dyDescent="0.3">
      <c r="A420" t="s">
        <v>177</v>
      </c>
      <c r="B420" t="str">
        <f t="shared" si="6"/>
        <v>Jan</v>
      </c>
      <c r="C420" t="s">
        <v>32</v>
      </c>
      <c r="D420" t="s">
        <v>33</v>
      </c>
      <c r="E420">
        <v>492422763591.40997</v>
      </c>
      <c r="F420">
        <v>10721.35</v>
      </c>
      <c r="G420">
        <v>43891864900.57</v>
      </c>
      <c r="H420">
        <v>10606087</v>
      </c>
      <c r="I420">
        <v>12085325</v>
      </c>
      <c r="J420">
        <v>12336201</v>
      </c>
      <c r="K420">
        <v>26.83</v>
      </c>
      <c r="L420">
        <v>3.87</v>
      </c>
      <c r="M420">
        <v>1.05</v>
      </c>
      <c r="N420">
        <v>-32.42</v>
      </c>
      <c r="O420">
        <v>53</v>
      </c>
      <c r="P420" t="s">
        <v>53</v>
      </c>
      <c r="Q420" t="s">
        <v>34</v>
      </c>
      <c r="R420" t="s">
        <v>35</v>
      </c>
      <c r="S420">
        <v>2021</v>
      </c>
      <c r="T420" t="s">
        <v>36</v>
      </c>
      <c r="U420">
        <v>1699</v>
      </c>
      <c r="V420">
        <v>64.63</v>
      </c>
      <c r="W420">
        <v>31.55</v>
      </c>
      <c r="X420">
        <v>27.81</v>
      </c>
      <c r="Y420">
        <v>33.19</v>
      </c>
    </row>
    <row r="421" spans="1:25" x14ac:dyDescent="0.3">
      <c r="A421" t="s">
        <v>321</v>
      </c>
      <c r="B421" t="str">
        <f t="shared" si="6"/>
        <v>Apr</v>
      </c>
      <c r="C421" t="s">
        <v>78</v>
      </c>
      <c r="D421" t="s">
        <v>79</v>
      </c>
      <c r="E421">
        <v>209549556342.31</v>
      </c>
      <c r="F421">
        <v>16575.59</v>
      </c>
      <c r="G421">
        <v>6829944613.8599997</v>
      </c>
      <c r="H421">
        <v>17816607</v>
      </c>
      <c r="I421">
        <v>19830311</v>
      </c>
      <c r="J421">
        <v>20186457</v>
      </c>
      <c r="K421">
        <v>40.020000000000003</v>
      </c>
      <c r="L421">
        <v>4.58</v>
      </c>
      <c r="M421">
        <v>-16.87</v>
      </c>
      <c r="N421">
        <v>-39.590000000000003</v>
      </c>
      <c r="O421">
        <v>120</v>
      </c>
      <c r="P421" t="s">
        <v>53</v>
      </c>
      <c r="Q421" t="s">
        <v>28</v>
      </c>
      <c r="R421" t="s">
        <v>74</v>
      </c>
      <c r="S421">
        <v>2013</v>
      </c>
      <c r="T421" t="s">
        <v>36</v>
      </c>
      <c r="U421">
        <v>10881</v>
      </c>
      <c r="V421">
        <v>15.05</v>
      </c>
      <c r="W421">
        <v>21.33</v>
      </c>
      <c r="X421">
        <v>28.36</v>
      </c>
      <c r="Y421">
        <v>54.98</v>
      </c>
    </row>
    <row r="422" spans="1:25" x14ac:dyDescent="0.3">
      <c r="A422" t="s">
        <v>179</v>
      </c>
      <c r="B422" t="str">
        <f t="shared" si="6"/>
        <v>Jul</v>
      </c>
      <c r="C422" t="s">
        <v>60</v>
      </c>
      <c r="D422" t="s">
        <v>61</v>
      </c>
      <c r="E422">
        <v>334632313287.63</v>
      </c>
      <c r="F422">
        <v>32163.18</v>
      </c>
      <c r="G422">
        <v>917729996.25999999</v>
      </c>
      <c r="H422">
        <v>15724501</v>
      </c>
      <c r="I422">
        <v>19657430</v>
      </c>
      <c r="J422">
        <v>19908888</v>
      </c>
      <c r="K422">
        <v>16.2</v>
      </c>
      <c r="L422">
        <v>4.8099999999999996</v>
      </c>
      <c r="M422">
        <v>1.35</v>
      </c>
      <c r="N422">
        <v>-9.64</v>
      </c>
      <c r="O422">
        <v>178</v>
      </c>
      <c r="P422" t="s">
        <v>46</v>
      </c>
      <c r="Q422" t="s">
        <v>57</v>
      </c>
      <c r="R422" t="s">
        <v>64</v>
      </c>
      <c r="S422">
        <v>2010</v>
      </c>
      <c r="T422" t="s">
        <v>30</v>
      </c>
      <c r="U422">
        <v>9384</v>
      </c>
      <c r="V422">
        <v>71.680000000000007</v>
      </c>
      <c r="W422">
        <v>25.07</v>
      </c>
      <c r="X422">
        <v>91.89</v>
      </c>
      <c r="Y422">
        <v>96.97</v>
      </c>
    </row>
    <row r="423" spans="1:25" x14ac:dyDescent="0.3">
      <c r="A423" t="s">
        <v>233</v>
      </c>
      <c r="B423" t="str">
        <f t="shared" si="6"/>
        <v>Sep</v>
      </c>
      <c r="C423" t="s">
        <v>49</v>
      </c>
      <c r="D423" t="s">
        <v>50</v>
      </c>
      <c r="E423">
        <v>190630436469.29999</v>
      </c>
      <c r="F423">
        <v>46918.33</v>
      </c>
      <c r="G423">
        <v>48728415187.690002</v>
      </c>
      <c r="H423">
        <v>16604315</v>
      </c>
      <c r="I423">
        <v>19933265</v>
      </c>
      <c r="J423">
        <v>20743123</v>
      </c>
      <c r="K423">
        <v>10.82</v>
      </c>
      <c r="L423">
        <v>0.21</v>
      </c>
      <c r="M423">
        <v>-13.38</v>
      </c>
      <c r="N423">
        <v>-4.25</v>
      </c>
      <c r="O423">
        <v>64</v>
      </c>
      <c r="P423" t="s">
        <v>53</v>
      </c>
      <c r="Q423" t="s">
        <v>47</v>
      </c>
      <c r="R423" t="s">
        <v>42</v>
      </c>
      <c r="S423">
        <v>2012</v>
      </c>
      <c r="T423" t="s">
        <v>36</v>
      </c>
      <c r="U423">
        <v>1984</v>
      </c>
      <c r="V423">
        <v>31.59</v>
      </c>
      <c r="W423">
        <v>37.590000000000003</v>
      </c>
      <c r="X423">
        <v>82.48</v>
      </c>
      <c r="Y423">
        <v>98.53</v>
      </c>
    </row>
    <row r="424" spans="1:25" x14ac:dyDescent="0.3">
      <c r="A424" t="s">
        <v>322</v>
      </c>
      <c r="B424" t="str">
        <f t="shared" si="6"/>
        <v>Mar</v>
      </c>
      <c r="C424" t="s">
        <v>60</v>
      </c>
      <c r="D424" t="s">
        <v>61</v>
      </c>
      <c r="E424">
        <v>557036780371.62</v>
      </c>
      <c r="F424">
        <v>62565.919999999998</v>
      </c>
      <c r="G424">
        <v>789965151.22000003</v>
      </c>
      <c r="H424">
        <v>6071923</v>
      </c>
      <c r="I424">
        <v>10054009</v>
      </c>
      <c r="J424">
        <v>10183208</v>
      </c>
      <c r="K424">
        <v>45.37</v>
      </c>
      <c r="L424">
        <v>3.19</v>
      </c>
      <c r="M424">
        <v>-19.21</v>
      </c>
      <c r="N424">
        <v>-9.16</v>
      </c>
      <c r="O424">
        <v>134</v>
      </c>
      <c r="P424" t="s">
        <v>53</v>
      </c>
      <c r="Q424" t="s">
        <v>34</v>
      </c>
      <c r="R424" t="s">
        <v>42</v>
      </c>
      <c r="S424">
        <v>2018</v>
      </c>
      <c r="T424" t="s">
        <v>30</v>
      </c>
      <c r="U424">
        <v>52356</v>
      </c>
      <c r="V424">
        <v>30.46</v>
      </c>
      <c r="W424">
        <v>83.69</v>
      </c>
      <c r="X424">
        <v>87.95</v>
      </c>
      <c r="Y424">
        <v>15.57</v>
      </c>
    </row>
    <row r="425" spans="1:25" x14ac:dyDescent="0.3">
      <c r="A425" t="s">
        <v>43</v>
      </c>
      <c r="B425" t="str">
        <f t="shared" si="6"/>
        <v>Nov</v>
      </c>
      <c r="C425" t="s">
        <v>78</v>
      </c>
      <c r="D425" t="s">
        <v>79</v>
      </c>
      <c r="E425">
        <v>590352341296.78003</v>
      </c>
      <c r="F425">
        <v>31908.68</v>
      </c>
      <c r="G425">
        <v>10821461044.76</v>
      </c>
      <c r="H425">
        <v>14091962</v>
      </c>
      <c r="I425">
        <v>14114269</v>
      </c>
      <c r="J425">
        <v>14902433</v>
      </c>
      <c r="K425">
        <v>34.049999999999997</v>
      </c>
      <c r="L425">
        <v>4.9000000000000004</v>
      </c>
      <c r="M425">
        <v>7.35</v>
      </c>
      <c r="N425">
        <v>-3.91</v>
      </c>
      <c r="O425">
        <v>81</v>
      </c>
      <c r="P425" t="s">
        <v>51</v>
      </c>
      <c r="Q425" t="s">
        <v>41</v>
      </c>
      <c r="R425" t="s">
        <v>74</v>
      </c>
      <c r="S425">
        <v>2018</v>
      </c>
      <c r="T425" t="s">
        <v>36</v>
      </c>
      <c r="U425">
        <v>38148</v>
      </c>
      <c r="V425">
        <v>80.61</v>
      </c>
      <c r="W425">
        <v>30.68</v>
      </c>
      <c r="X425">
        <v>56.28</v>
      </c>
      <c r="Y425">
        <v>95.86</v>
      </c>
    </row>
    <row r="426" spans="1:25" x14ac:dyDescent="0.3">
      <c r="A426" t="s">
        <v>264</v>
      </c>
      <c r="B426" t="str">
        <f t="shared" si="6"/>
        <v>Feb</v>
      </c>
      <c r="C426" t="s">
        <v>90</v>
      </c>
      <c r="D426" t="s">
        <v>91</v>
      </c>
      <c r="E426">
        <v>731515205903.55005</v>
      </c>
      <c r="F426">
        <v>8893.64</v>
      </c>
      <c r="G426">
        <v>28453367031.110001</v>
      </c>
      <c r="H426">
        <v>18064181</v>
      </c>
      <c r="I426">
        <v>18603617</v>
      </c>
      <c r="J426">
        <v>18924721</v>
      </c>
      <c r="K426">
        <v>26.29</v>
      </c>
      <c r="L426">
        <v>1.58</v>
      </c>
      <c r="M426">
        <v>17.12</v>
      </c>
      <c r="N426">
        <v>28.82</v>
      </c>
      <c r="O426">
        <v>198</v>
      </c>
      <c r="P426" t="s">
        <v>40</v>
      </c>
      <c r="Q426" t="s">
        <v>57</v>
      </c>
      <c r="R426" t="s">
        <v>35</v>
      </c>
      <c r="S426">
        <v>2022</v>
      </c>
      <c r="T426" t="s">
        <v>30</v>
      </c>
      <c r="U426">
        <v>47402</v>
      </c>
      <c r="V426">
        <v>11.57</v>
      </c>
      <c r="W426">
        <v>25.17</v>
      </c>
      <c r="X426">
        <v>39.61</v>
      </c>
      <c r="Y426">
        <v>97.45</v>
      </c>
    </row>
    <row r="427" spans="1:25" x14ac:dyDescent="0.3">
      <c r="A427" t="s">
        <v>285</v>
      </c>
      <c r="B427" t="str">
        <f t="shared" si="6"/>
        <v>Dec</v>
      </c>
      <c r="C427" t="s">
        <v>25</v>
      </c>
      <c r="D427" t="s">
        <v>26</v>
      </c>
      <c r="E427">
        <v>583832077245.82996</v>
      </c>
      <c r="F427">
        <v>22200.97</v>
      </c>
      <c r="G427">
        <v>44531548472.790001</v>
      </c>
      <c r="H427">
        <v>13576900</v>
      </c>
      <c r="I427">
        <v>17926197</v>
      </c>
      <c r="J427">
        <v>18548239</v>
      </c>
      <c r="K427">
        <v>29.39</v>
      </c>
      <c r="L427">
        <v>2.92</v>
      </c>
      <c r="M427">
        <v>-2.33</v>
      </c>
      <c r="N427">
        <v>-23.58</v>
      </c>
      <c r="O427">
        <v>14</v>
      </c>
      <c r="P427" t="s">
        <v>27</v>
      </c>
      <c r="Q427" t="s">
        <v>41</v>
      </c>
      <c r="R427" t="s">
        <v>42</v>
      </c>
      <c r="S427">
        <v>2018</v>
      </c>
      <c r="T427" t="s">
        <v>30</v>
      </c>
      <c r="U427">
        <v>27706</v>
      </c>
      <c r="V427">
        <v>97.16</v>
      </c>
      <c r="W427">
        <v>98.02</v>
      </c>
      <c r="X427">
        <v>43.06</v>
      </c>
      <c r="Y427">
        <v>63.4</v>
      </c>
    </row>
    <row r="428" spans="1:25" x14ac:dyDescent="0.3">
      <c r="A428" t="s">
        <v>323</v>
      </c>
      <c r="B428" t="str">
        <f t="shared" si="6"/>
        <v>Mar</v>
      </c>
      <c r="C428" t="s">
        <v>90</v>
      </c>
      <c r="D428" t="s">
        <v>91</v>
      </c>
      <c r="E428">
        <v>564640201104.38</v>
      </c>
      <c r="F428">
        <v>4599.2299999999996</v>
      </c>
      <c r="G428">
        <v>12302721082.690001</v>
      </c>
      <c r="H428">
        <v>13670875</v>
      </c>
      <c r="I428">
        <v>17177820</v>
      </c>
      <c r="J428">
        <v>18115024</v>
      </c>
      <c r="K428">
        <v>31.7</v>
      </c>
      <c r="L428">
        <v>-2.21</v>
      </c>
      <c r="M428">
        <v>-19.91</v>
      </c>
      <c r="N428">
        <v>-13.86</v>
      </c>
      <c r="O428">
        <v>29</v>
      </c>
      <c r="P428" t="s">
        <v>46</v>
      </c>
      <c r="Q428" t="s">
        <v>28</v>
      </c>
      <c r="R428" t="s">
        <v>64</v>
      </c>
      <c r="S428">
        <v>2012</v>
      </c>
      <c r="T428" t="s">
        <v>30</v>
      </c>
      <c r="U428">
        <v>47069</v>
      </c>
      <c r="V428">
        <v>34.08</v>
      </c>
      <c r="W428">
        <v>43.58</v>
      </c>
      <c r="X428">
        <v>10.56</v>
      </c>
      <c r="Y428">
        <v>60.75</v>
      </c>
    </row>
    <row r="429" spans="1:25" x14ac:dyDescent="0.3">
      <c r="A429" t="s">
        <v>143</v>
      </c>
      <c r="B429" t="str">
        <f t="shared" si="6"/>
        <v>Jun</v>
      </c>
      <c r="C429" t="s">
        <v>32</v>
      </c>
      <c r="D429" t="s">
        <v>33</v>
      </c>
      <c r="E429">
        <v>497828950300.48999</v>
      </c>
      <c r="F429">
        <v>37543.839999999997</v>
      </c>
      <c r="G429">
        <v>42978793420.110001</v>
      </c>
      <c r="H429">
        <v>1041416</v>
      </c>
      <c r="I429">
        <v>5280871</v>
      </c>
      <c r="J429">
        <v>6106121</v>
      </c>
      <c r="K429">
        <v>40.11</v>
      </c>
      <c r="L429">
        <v>-4.29</v>
      </c>
      <c r="M429">
        <v>-5.39</v>
      </c>
      <c r="N429">
        <v>-22.59</v>
      </c>
      <c r="O429">
        <v>177</v>
      </c>
      <c r="P429" t="s">
        <v>46</v>
      </c>
      <c r="Q429" t="s">
        <v>34</v>
      </c>
      <c r="R429" t="s">
        <v>35</v>
      </c>
      <c r="S429">
        <v>2012</v>
      </c>
      <c r="T429" t="s">
        <v>36</v>
      </c>
      <c r="U429">
        <v>58093</v>
      </c>
      <c r="V429">
        <v>58.83</v>
      </c>
      <c r="W429">
        <v>54.48</v>
      </c>
      <c r="X429">
        <v>93.84</v>
      </c>
      <c r="Y429">
        <v>48.23</v>
      </c>
    </row>
    <row r="430" spans="1:25" x14ac:dyDescent="0.3">
      <c r="A430" t="s">
        <v>194</v>
      </c>
      <c r="B430" t="str">
        <f t="shared" si="6"/>
        <v>Oct</v>
      </c>
      <c r="C430" t="s">
        <v>55</v>
      </c>
      <c r="D430" t="s">
        <v>56</v>
      </c>
      <c r="E430">
        <v>15725561232.83</v>
      </c>
      <c r="F430">
        <v>56504.09</v>
      </c>
      <c r="G430">
        <v>40863380771.190002</v>
      </c>
      <c r="H430">
        <v>13284646</v>
      </c>
      <c r="I430">
        <v>15854782</v>
      </c>
      <c r="J430">
        <v>16448840</v>
      </c>
      <c r="K430">
        <v>38.93</v>
      </c>
      <c r="L430">
        <v>-0.72</v>
      </c>
      <c r="M430">
        <v>-17.14</v>
      </c>
      <c r="N430">
        <v>-34.549999999999997</v>
      </c>
      <c r="O430">
        <v>11</v>
      </c>
      <c r="P430" t="s">
        <v>27</v>
      </c>
      <c r="Q430" t="s">
        <v>28</v>
      </c>
      <c r="R430" t="s">
        <v>29</v>
      </c>
      <c r="S430">
        <v>2018</v>
      </c>
      <c r="T430" t="s">
        <v>58</v>
      </c>
      <c r="U430">
        <v>30569</v>
      </c>
      <c r="V430">
        <v>38.21</v>
      </c>
      <c r="W430">
        <v>90.35</v>
      </c>
      <c r="X430">
        <v>18.920000000000002</v>
      </c>
      <c r="Y430">
        <v>63.69</v>
      </c>
    </row>
    <row r="431" spans="1:25" x14ac:dyDescent="0.3">
      <c r="A431" t="s">
        <v>156</v>
      </c>
      <c r="B431" t="str">
        <f t="shared" si="6"/>
        <v>Feb</v>
      </c>
      <c r="C431" t="s">
        <v>44</v>
      </c>
      <c r="D431" t="s">
        <v>45</v>
      </c>
      <c r="E431">
        <v>138704608388.59</v>
      </c>
      <c r="F431">
        <v>62399.78</v>
      </c>
      <c r="G431">
        <v>17829120339.59</v>
      </c>
      <c r="H431">
        <v>18778476</v>
      </c>
      <c r="I431">
        <v>19615578</v>
      </c>
      <c r="J431">
        <v>19945055</v>
      </c>
      <c r="K431">
        <v>4.45</v>
      </c>
      <c r="L431">
        <v>2.14</v>
      </c>
      <c r="M431">
        <v>15.55</v>
      </c>
      <c r="N431">
        <v>1.62</v>
      </c>
      <c r="O431">
        <v>49</v>
      </c>
      <c r="P431" t="s">
        <v>27</v>
      </c>
      <c r="Q431" t="s">
        <v>41</v>
      </c>
      <c r="R431" t="s">
        <v>64</v>
      </c>
      <c r="S431">
        <v>2022</v>
      </c>
      <c r="T431" t="s">
        <v>36</v>
      </c>
      <c r="U431">
        <v>44267</v>
      </c>
      <c r="V431">
        <v>46.16</v>
      </c>
      <c r="W431">
        <v>23.97</v>
      </c>
      <c r="X431">
        <v>51.72</v>
      </c>
      <c r="Y431">
        <v>85.41</v>
      </c>
    </row>
    <row r="432" spans="1:25" x14ac:dyDescent="0.3">
      <c r="A432" t="s">
        <v>163</v>
      </c>
      <c r="B432" t="str">
        <f t="shared" si="6"/>
        <v>Oct</v>
      </c>
      <c r="C432" t="s">
        <v>49</v>
      </c>
      <c r="D432" t="s">
        <v>50</v>
      </c>
      <c r="E432">
        <v>69649906643.289993</v>
      </c>
      <c r="F432">
        <v>28088.65</v>
      </c>
      <c r="G432">
        <v>43737522496.93</v>
      </c>
      <c r="H432">
        <v>17859778</v>
      </c>
      <c r="I432">
        <v>21678599</v>
      </c>
      <c r="J432">
        <v>22654095</v>
      </c>
      <c r="K432">
        <v>4.99</v>
      </c>
      <c r="L432">
        <v>4.9000000000000004</v>
      </c>
      <c r="M432">
        <v>9.49</v>
      </c>
      <c r="N432">
        <v>-18.25</v>
      </c>
      <c r="O432">
        <v>63</v>
      </c>
      <c r="P432" t="s">
        <v>51</v>
      </c>
      <c r="Q432" t="s">
        <v>34</v>
      </c>
      <c r="R432" t="s">
        <v>29</v>
      </c>
      <c r="S432">
        <v>2010</v>
      </c>
      <c r="T432" t="s">
        <v>36</v>
      </c>
      <c r="U432">
        <v>56917</v>
      </c>
      <c r="V432">
        <v>65.23</v>
      </c>
      <c r="W432">
        <v>99.12</v>
      </c>
      <c r="X432">
        <v>97.98</v>
      </c>
      <c r="Y432">
        <v>62.94</v>
      </c>
    </row>
    <row r="433" spans="1:25" x14ac:dyDescent="0.3">
      <c r="A433" t="s">
        <v>204</v>
      </c>
      <c r="B433" t="str">
        <f t="shared" si="6"/>
        <v>Nov</v>
      </c>
      <c r="C433" t="s">
        <v>49</v>
      </c>
      <c r="D433" t="s">
        <v>50</v>
      </c>
      <c r="E433">
        <v>48710694929.910004</v>
      </c>
      <c r="F433">
        <v>6141.93</v>
      </c>
      <c r="G433">
        <v>9913637801.1200008</v>
      </c>
      <c r="H433">
        <v>16317420</v>
      </c>
      <c r="I433">
        <v>17136557</v>
      </c>
      <c r="J433">
        <v>17797336</v>
      </c>
      <c r="K433">
        <v>34.619999999999997</v>
      </c>
      <c r="L433">
        <v>0.2</v>
      </c>
      <c r="M433">
        <v>-3.29</v>
      </c>
      <c r="N433">
        <v>-11.02</v>
      </c>
      <c r="O433">
        <v>135</v>
      </c>
      <c r="P433" t="s">
        <v>46</v>
      </c>
      <c r="Q433" t="s">
        <v>41</v>
      </c>
      <c r="R433" t="s">
        <v>35</v>
      </c>
      <c r="S433">
        <v>2017</v>
      </c>
      <c r="T433" t="s">
        <v>36</v>
      </c>
      <c r="U433">
        <v>57494</v>
      </c>
      <c r="V433">
        <v>77.47</v>
      </c>
      <c r="W433">
        <v>80.010000000000005</v>
      </c>
      <c r="X433">
        <v>57.93</v>
      </c>
      <c r="Y433">
        <v>65.72</v>
      </c>
    </row>
    <row r="434" spans="1:25" x14ac:dyDescent="0.3">
      <c r="A434" t="s">
        <v>310</v>
      </c>
      <c r="B434" t="str">
        <f t="shared" si="6"/>
        <v>Jan</v>
      </c>
      <c r="C434" t="s">
        <v>49</v>
      </c>
      <c r="D434" t="s">
        <v>50</v>
      </c>
      <c r="E434">
        <v>240327690907.47</v>
      </c>
      <c r="F434">
        <v>61660.42</v>
      </c>
      <c r="G434">
        <v>43358915380.43</v>
      </c>
      <c r="H434">
        <v>3544339</v>
      </c>
      <c r="I434">
        <v>6264576</v>
      </c>
      <c r="J434">
        <v>6774854</v>
      </c>
      <c r="K434">
        <v>52.14</v>
      </c>
      <c r="L434">
        <v>1.08</v>
      </c>
      <c r="M434">
        <v>-1.64</v>
      </c>
      <c r="N434">
        <v>12.63</v>
      </c>
      <c r="O434">
        <v>133</v>
      </c>
      <c r="P434" t="s">
        <v>40</v>
      </c>
      <c r="Q434" t="s">
        <v>47</v>
      </c>
      <c r="R434" t="s">
        <v>42</v>
      </c>
      <c r="S434">
        <v>2016</v>
      </c>
      <c r="T434" t="s">
        <v>36</v>
      </c>
      <c r="U434">
        <v>36650</v>
      </c>
      <c r="V434">
        <v>40.25</v>
      </c>
      <c r="W434">
        <v>41.43</v>
      </c>
      <c r="X434">
        <v>67.44</v>
      </c>
      <c r="Y434">
        <v>43.8</v>
      </c>
    </row>
    <row r="435" spans="1:25" x14ac:dyDescent="0.3">
      <c r="A435" t="s">
        <v>207</v>
      </c>
      <c r="B435" t="str">
        <f t="shared" si="6"/>
        <v>Apr</v>
      </c>
      <c r="C435" t="s">
        <v>49</v>
      </c>
      <c r="D435" t="s">
        <v>50</v>
      </c>
      <c r="E435">
        <v>81132863481.399994</v>
      </c>
      <c r="F435">
        <v>12728.47</v>
      </c>
      <c r="G435">
        <v>35777188857.900002</v>
      </c>
      <c r="H435">
        <v>5212062</v>
      </c>
      <c r="I435">
        <v>6750402</v>
      </c>
      <c r="J435">
        <v>7258664</v>
      </c>
      <c r="K435">
        <v>21.13</v>
      </c>
      <c r="L435">
        <v>-1.08</v>
      </c>
      <c r="M435">
        <v>4.1399999999999997</v>
      </c>
      <c r="N435">
        <v>30.05</v>
      </c>
      <c r="O435">
        <v>20</v>
      </c>
      <c r="P435" t="s">
        <v>27</v>
      </c>
      <c r="Q435" t="s">
        <v>57</v>
      </c>
      <c r="R435" t="s">
        <v>42</v>
      </c>
      <c r="S435">
        <v>2013</v>
      </c>
      <c r="T435" t="s">
        <v>36</v>
      </c>
      <c r="U435">
        <v>8745</v>
      </c>
      <c r="V435">
        <v>50.47</v>
      </c>
      <c r="W435">
        <v>46.29</v>
      </c>
      <c r="X435">
        <v>77.239999999999995</v>
      </c>
      <c r="Y435">
        <v>24.34</v>
      </c>
    </row>
    <row r="436" spans="1:25" x14ac:dyDescent="0.3">
      <c r="A436" t="s">
        <v>240</v>
      </c>
      <c r="B436" t="str">
        <f t="shared" si="6"/>
        <v>Nov</v>
      </c>
      <c r="C436" t="s">
        <v>78</v>
      </c>
      <c r="D436" t="s">
        <v>79</v>
      </c>
      <c r="E436">
        <v>337659290130.78003</v>
      </c>
      <c r="F436">
        <v>37761.68</v>
      </c>
      <c r="G436">
        <v>4033737533.54</v>
      </c>
      <c r="H436">
        <v>13456217</v>
      </c>
      <c r="I436">
        <v>14406925</v>
      </c>
      <c r="J436">
        <v>14442237</v>
      </c>
      <c r="K436">
        <v>36.909999999999997</v>
      </c>
      <c r="L436">
        <v>-2.4700000000000002</v>
      </c>
      <c r="M436">
        <v>8.7100000000000009</v>
      </c>
      <c r="N436">
        <v>-2.2999999999999998</v>
      </c>
      <c r="O436">
        <v>10</v>
      </c>
      <c r="P436" t="s">
        <v>53</v>
      </c>
      <c r="Q436" t="s">
        <v>34</v>
      </c>
      <c r="R436" t="s">
        <v>35</v>
      </c>
      <c r="S436">
        <v>2019</v>
      </c>
      <c r="T436" t="s">
        <v>36</v>
      </c>
      <c r="U436">
        <v>19194</v>
      </c>
      <c r="V436">
        <v>73.349999999999994</v>
      </c>
      <c r="W436">
        <v>77.55</v>
      </c>
      <c r="X436">
        <v>50.95</v>
      </c>
      <c r="Y436">
        <v>32.31</v>
      </c>
    </row>
    <row r="437" spans="1:25" x14ac:dyDescent="0.3">
      <c r="A437" t="s">
        <v>296</v>
      </c>
      <c r="B437" t="str">
        <f t="shared" si="6"/>
        <v>Jan</v>
      </c>
      <c r="C437" t="s">
        <v>44</v>
      </c>
      <c r="D437" t="s">
        <v>45</v>
      </c>
      <c r="E437">
        <v>420383107243.51001</v>
      </c>
      <c r="F437">
        <v>10996.45</v>
      </c>
      <c r="G437">
        <v>6715834544.3900003</v>
      </c>
      <c r="H437">
        <v>10253014</v>
      </c>
      <c r="I437">
        <v>14916295</v>
      </c>
      <c r="J437">
        <v>15602438</v>
      </c>
      <c r="K437">
        <v>41.07</v>
      </c>
      <c r="L437">
        <v>-0.95</v>
      </c>
      <c r="M437">
        <v>8.35</v>
      </c>
      <c r="N437">
        <v>-24.81</v>
      </c>
      <c r="O437">
        <v>110</v>
      </c>
      <c r="P437" t="s">
        <v>51</v>
      </c>
      <c r="Q437" t="s">
        <v>34</v>
      </c>
      <c r="R437" t="s">
        <v>29</v>
      </c>
      <c r="S437">
        <v>2021</v>
      </c>
      <c r="T437" t="s">
        <v>36</v>
      </c>
      <c r="U437">
        <v>21706</v>
      </c>
      <c r="V437">
        <v>20.13</v>
      </c>
      <c r="W437">
        <v>30.33</v>
      </c>
      <c r="X437">
        <v>66.22</v>
      </c>
      <c r="Y437">
        <v>29.17</v>
      </c>
    </row>
    <row r="438" spans="1:25" x14ac:dyDescent="0.3">
      <c r="A438" t="s">
        <v>236</v>
      </c>
      <c r="B438" t="str">
        <f t="shared" si="6"/>
        <v>Jan</v>
      </c>
      <c r="C438" t="s">
        <v>38</v>
      </c>
      <c r="D438" t="s">
        <v>39</v>
      </c>
      <c r="E438">
        <v>427545684916.77002</v>
      </c>
      <c r="F438">
        <v>68749.14</v>
      </c>
      <c r="G438">
        <v>8149668618.8299999</v>
      </c>
      <c r="H438">
        <v>8844796</v>
      </c>
      <c r="I438">
        <v>13119755</v>
      </c>
      <c r="J438">
        <v>13368639</v>
      </c>
      <c r="K438">
        <v>41.56</v>
      </c>
      <c r="L438">
        <v>-4.1399999999999997</v>
      </c>
      <c r="M438">
        <v>8.3800000000000008</v>
      </c>
      <c r="N438">
        <v>26.58</v>
      </c>
      <c r="O438">
        <v>96</v>
      </c>
      <c r="P438" t="s">
        <v>40</v>
      </c>
      <c r="Q438" t="s">
        <v>28</v>
      </c>
      <c r="R438" t="s">
        <v>42</v>
      </c>
      <c r="S438">
        <v>2023</v>
      </c>
      <c r="T438" t="s">
        <v>36</v>
      </c>
      <c r="U438">
        <v>24996</v>
      </c>
      <c r="V438">
        <v>29.38</v>
      </c>
      <c r="W438">
        <v>60.65</v>
      </c>
      <c r="X438">
        <v>14.46</v>
      </c>
      <c r="Y438">
        <v>51.03</v>
      </c>
    </row>
    <row r="439" spans="1:25" x14ac:dyDescent="0.3">
      <c r="A439" t="s">
        <v>115</v>
      </c>
      <c r="B439" t="str">
        <f t="shared" si="6"/>
        <v>May</v>
      </c>
      <c r="C439" t="s">
        <v>68</v>
      </c>
      <c r="D439" t="s">
        <v>69</v>
      </c>
      <c r="E439">
        <v>744264965229.02002</v>
      </c>
      <c r="F439">
        <v>1295.74</v>
      </c>
      <c r="G439">
        <v>31712435466.540001</v>
      </c>
      <c r="H439">
        <v>6927641</v>
      </c>
      <c r="I439">
        <v>11484686</v>
      </c>
      <c r="J439">
        <v>11762035</v>
      </c>
      <c r="K439">
        <v>48.54</v>
      </c>
      <c r="L439">
        <v>-1.7</v>
      </c>
      <c r="M439">
        <v>17.5</v>
      </c>
      <c r="N439">
        <v>-36.71</v>
      </c>
      <c r="O439">
        <v>39</v>
      </c>
      <c r="P439" t="s">
        <v>46</v>
      </c>
      <c r="Q439" t="s">
        <v>28</v>
      </c>
      <c r="R439" t="s">
        <v>74</v>
      </c>
      <c r="S439">
        <v>2016</v>
      </c>
      <c r="T439" t="s">
        <v>36</v>
      </c>
      <c r="U439">
        <v>12297</v>
      </c>
      <c r="V439">
        <v>73.42</v>
      </c>
      <c r="W439">
        <v>66.849999999999994</v>
      </c>
      <c r="X439">
        <v>87.57</v>
      </c>
      <c r="Y439">
        <v>18.66</v>
      </c>
    </row>
    <row r="440" spans="1:25" x14ac:dyDescent="0.3">
      <c r="A440" t="s">
        <v>193</v>
      </c>
      <c r="B440" t="str">
        <f t="shared" si="6"/>
        <v>Oct</v>
      </c>
      <c r="C440" t="s">
        <v>32</v>
      </c>
      <c r="D440" t="s">
        <v>33</v>
      </c>
      <c r="E440">
        <v>509173882498.15997</v>
      </c>
      <c r="F440">
        <v>16317.56</v>
      </c>
      <c r="G440">
        <v>34180581756.799999</v>
      </c>
      <c r="H440">
        <v>18231517</v>
      </c>
      <c r="I440">
        <v>19805338</v>
      </c>
      <c r="J440">
        <v>20285897</v>
      </c>
      <c r="K440">
        <v>32.340000000000003</v>
      </c>
      <c r="L440">
        <v>4.32</v>
      </c>
      <c r="M440">
        <v>-6.42</v>
      </c>
      <c r="N440">
        <v>-10.3</v>
      </c>
      <c r="O440">
        <v>147</v>
      </c>
      <c r="P440" t="s">
        <v>40</v>
      </c>
      <c r="Q440" t="s">
        <v>47</v>
      </c>
      <c r="R440" t="s">
        <v>64</v>
      </c>
      <c r="S440">
        <v>2018</v>
      </c>
      <c r="T440" t="s">
        <v>36</v>
      </c>
      <c r="U440">
        <v>17400</v>
      </c>
      <c r="V440">
        <v>89.16</v>
      </c>
      <c r="W440">
        <v>82.06</v>
      </c>
      <c r="X440">
        <v>41.45</v>
      </c>
      <c r="Y440">
        <v>34.200000000000003</v>
      </c>
    </row>
    <row r="441" spans="1:25" x14ac:dyDescent="0.3">
      <c r="A441" t="s">
        <v>75</v>
      </c>
      <c r="B441" t="str">
        <f t="shared" si="6"/>
        <v>Aug</v>
      </c>
      <c r="C441" t="s">
        <v>44</v>
      </c>
      <c r="D441" t="s">
        <v>45</v>
      </c>
      <c r="E441">
        <v>261515022032.04999</v>
      </c>
      <c r="F441">
        <v>67151.64</v>
      </c>
      <c r="G441">
        <v>20675610156.380001</v>
      </c>
      <c r="H441">
        <v>9618323</v>
      </c>
      <c r="I441">
        <v>13847509</v>
      </c>
      <c r="J441">
        <v>14218158</v>
      </c>
      <c r="K441">
        <v>15.31</v>
      </c>
      <c r="L441">
        <v>-1.72</v>
      </c>
      <c r="M441">
        <v>-1</v>
      </c>
      <c r="N441">
        <v>5.22</v>
      </c>
      <c r="O441">
        <v>169</v>
      </c>
      <c r="P441" t="s">
        <v>53</v>
      </c>
      <c r="Q441" t="s">
        <v>57</v>
      </c>
      <c r="R441" t="s">
        <v>74</v>
      </c>
      <c r="S441">
        <v>2016</v>
      </c>
      <c r="T441" t="s">
        <v>36</v>
      </c>
      <c r="U441">
        <v>31144</v>
      </c>
      <c r="V441">
        <v>15.76</v>
      </c>
      <c r="W441">
        <v>86.12</v>
      </c>
      <c r="X441">
        <v>89.53</v>
      </c>
      <c r="Y441">
        <v>32.64</v>
      </c>
    </row>
    <row r="442" spans="1:25" x14ac:dyDescent="0.3">
      <c r="A442" t="s">
        <v>176</v>
      </c>
      <c r="B442" t="str">
        <f t="shared" si="6"/>
        <v>Apr</v>
      </c>
      <c r="C442" t="s">
        <v>90</v>
      </c>
      <c r="D442" t="s">
        <v>91</v>
      </c>
      <c r="E442">
        <v>130344694766.57001</v>
      </c>
      <c r="F442">
        <v>27339.94</v>
      </c>
      <c r="G442">
        <v>3115021118.5100002</v>
      </c>
      <c r="H442">
        <v>1031012</v>
      </c>
      <c r="I442">
        <v>3372264</v>
      </c>
      <c r="J442">
        <v>4032860</v>
      </c>
      <c r="K442">
        <v>39.65</v>
      </c>
      <c r="L442">
        <v>-2.94</v>
      </c>
      <c r="M442">
        <v>12.05</v>
      </c>
      <c r="N442">
        <v>-1.69</v>
      </c>
      <c r="O442">
        <v>172</v>
      </c>
      <c r="P442" t="s">
        <v>46</v>
      </c>
      <c r="Q442" t="s">
        <v>34</v>
      </c>
      <c r="R442" t="s">
        <v>29</v>
      </c>
      <c r="S442">
        <v>2010</v>
      </c>
      <c r="T442" t="s">
        <v>30</v>
      </c>
      <c r="U442">
        <v>16400</v>
      </c>
      <c r="V442">
        <v>21.66</v>
      </c>
      <c r="W442">
        <v>51.39</v>
      </c>
      <c r="X442">
        <v>77.47</v>
      </c>
      <c r="Y442">
        <v>45.22</v>
      </c>
    </row>
    <row r="443" spans="1:25" x14ac:dyDescent="0.3">
      <c r="A443" t="s">
        <v>267</v>
      </c>
      <c r="B443" t="str">
        <f t="shared" si="6"/>
        <v>Jul</v>
      </c>
      <c r="C443" t="s">
        <v>55</v>
      </c>
      <c r="D443" t="s">
        <v>56</v>
      </c>
      <c r="E443">
        <v>416312479976.37</v>
      </c>
      <c r="F443">
        <v>1929.72</v>
      </c>
      <c r="G443">
        <v>6774129976.25</v>
      </c>
      <c r="H443">
        <v>13859399</v>
      </c>
      <c r="I443">
        <v>15802839</v>
      </c>
      <c r="J443">
        <v>16608221</v>
      </c>
      <c r="K443">
        <v>57.28</v>
      </c>
      <c r="L443">
        <v>-2.86</v>
      </c>
      <c r="M443">
        <v>13.08</v>
      </c>
      <c r="N443">
        <v>25.97</v>
      </c>
      <c r="O443">
        <v>64</v>
      </c>
      <c r="P443" t="s">
        <v>51</v>
      </c>
      <c r="Q443" t="s">
        <v>28</v>
      </c>
      <c r="R443" t="s">
        <v>35</v>
      </c>
      <c r="S443">
        <v>2018</v>
      </c>
      <c r="T443" t="s">
        <v>58</v>
      </c>
      <c r="U443">
        <v>10208</v>
      </c>
      <c r="V443">
        <v>53.01</v>
      </c>
      <c r="W443">
        <v>30.6</v>
      </c>
      <c r="X443">
        <v>35.68</v>
      </c>
      <c r="Y443">
        <v>79</v>
      </c>
    </row>
    <row r="444" spans="1:25" x14ac:dyDescent="0.3">
      <c r="A444" t="s">
        <v>152</v>
      </c>
      <c r="B444" t="str">
        <f t="shared" si="6"/>
        <v>Dec</v>
      </c>
      <c r="C444" t="s">
        <v>68</v>
      </c>
      <c r="D444" t="s">
        <v>69</v>
      </c>
      <c r="E444">
        <v>441658395867.16998</v>
      </c>
      <c r="F444">
        <v>30213.09</v>
      </c>
      <c r="G444">
        <v>6540518494.8500004</v>
      </c>
      <c r="H444">
        <v>5246927</v>
      </c>
      <c r="I444">
        <v>8455077</v>
      </c>
      <c r="J444">
        <v>8994410</v>
      </c>
      <c r="K444">
        <v>42.58</v>
      </c>
      <c r="L444">
        <v>-1.72</v>
      </c>
      <c r="M444">
        <v>-12.7</v>
      </c>
      <c r="N444">
        <v>38.159999999999997</v>
      </c>
      <c r="O444">
        <v>67</v>
      </c>
      <c r="P444" t="s">
        <v>46</v>
      </c>
      <c r="Q444" t="s">
        <v>57</v>
      </c>
      <c r="R444" t="s">
        <v>35</v>
      </c>
      <c r="S444">
        <v>2021</v>
      </c>
      <c r="T444" t="s">
        <v>36</v>
      </c>
      <c r="U444">
        <v>27130</v>
      </c>
      <c r="V444">
        <v>67.040000000000006</v>
      </c>
      <c r="W444">
        <v>83.33</v>
      </c>
      <c r="X444">
        <v>17.63</v>
      </c>
      <c r="Y444">
        <v>52.75</v>
      </c>
    </row>
    <row r="445" spans="1:25" x14ac:dyDescent="0.3">
      <c r="A445" t="s">
        <v>324</v>
      </c>
      <c r="B445" t="str">
        <f t="shared" si="6"/>
        <v>Aug</v>
      </c>
      <c r="C445" t="s">
        <v>68</v>
      </c>
      <c r="D445" t="s">
        <v>69</v>
      </c>
      <c r="E445">
        <v>886440911137.16003</v>
      </c>
      <c r="F445">
        <v>29328.82</v>
      </c>
      <c r="G445">
        <v>21737462284.369999</v>
      </c>
      <c r="H445">
        <v>17087911</v>
      </c>
      <c r="I445">
        <v>17102989</v>
      </c>
      <c r="J445">
        <v>17536054</v>
      </c>
      <c r="K445">
        <v>44.7</v>
      </c>
      <c r="L445">
        <v>3.51</v>
      </c>
      <c r="M445">
        <v>-1.18</v>
      </c>
      <c r="N445">
        <v>-38.89</v>
      </c>
      <c r="O445">
        <v>71</v>
      </c>
      <c r="P445" t="s">
        <v>27</v>
      </c>
      <c r="Q445" t="s">
        <v>57</v>
      </c>
      <c r="R445" t="s">
        <v>29</v>
      </c>
      <c r="S445">
        <v>2011</v>
      </c>
      <c r="T445" t="s">
        <v>36</v>
      </c>
      <c r="U445">
        <v>59556</v>
      </c>
      <c r="V445">
        <v>56.75</v>
      </c>
      <c r="W445">
        <v>26.18</v>
      </c>
      <c r="X445">
        <v>97.09</v>
      </c>
      <c r="Y445">
        <v>24.68</v>
      </c>
    </row>
    <row r="446" spans="1:25" x14ac:dyDescent="0.3">
      <c r="A446" t="s">
        <v>194</v>
      </c>
      <c r="B446" t="str">
        <f t="shared" si="6"/>
        <v>Oct</v>
      </c>
      <c r="C446" t="s">
        <v>25</v>
      </c>
      <c r="D446" t="s">
        <v>26</v>
      </c>
      <c r="E446">
        <v>647210418102.54004</v>
      </c>
      <c r="F446">
        <v>1481.6</v>
      </c>
      <c r="G446">
        <v>32328265059.299999</v>
      </c>
      <c r="H446">
        <v>14289581</v>
      </c>
      <c r="I446">
        <v>16260962</v>
      </c>
      <c r="J446">
        <v>16666041</v>
      </c>
      <c r="K446">
        <v>23.75</v>
      </c>
      <c r="L446">
        <v>-1.77</v>
      </c>
      <c r="M446">
        <v>-16.53</v>
      </c>
      <c r="N446">
        <v>-0.04</v>
      </c>
      <c r="O446">
        <v>155</v>
      </c>
      <c r="P446" t="s">
        <v>53</v>
      </c>
      <c r="Q446" t="s">
        <v>41</v>
      </c>
      <c r="R446" t="s">
        <v>29</v>
      </c>
      <c r="S446">
        <v>2022</v>
      </c>
      <c r="T446" t="s">
        <v>30</v>
      </c>
      <c r="U446">
        <v>61502</v>
      </c>
      <c r="V446">
        <v>53.29</v>
      </c>
      <c r="W446">
        <v>42.21</v>
      </c>
      <c r="X446">
        <v>63.01</v>
      </c>
      <c r="Y446">
        <v>30.8</v>
      </c>
    </row>
    <row r="447" spans="1:25" x14ac:dyDescent="0.3">
      <c r="A447" t="s">
        <v>325</v>
      </c>
      <c r="B447" t="str">
        <f t="shared" si="6"/>
        <v>Jan</v>
      </c>
      <c r="C447" t="s">
        <v>68</v>
      </c>
      <c r="D447" t="s">
        <v>69</v>
      </c>
      <c r="E447">
        <v>163355387801.48999</v>
      </c>
      <c r="F447">
        <v>43869.51</v>
      </c>
      <c r="G447">
        <v>36085876520.529999</v>
      </c>
      <c r="H447">
        <v>3071848</v>
      </c>
      <c r="I447">
        <v>4094519</v>
      </c>
      <c r="J447">
        <v>4414415</v>
      </c>
      <c r="K447">
        <v>38.28</v>
      </c>
      <c r="L447">
        <v>-4.3</v>
      </c>
      <c r="M447">
        <v>-8.2899999999999991</v>
      </c>
      <c r="N447">
        <v>25.13</v>
      </c>
      <c r="O447">
        <v>136</v>
      </c>
      <c r="P447" t="s">
        <v>40</v>
      </c>
      <c r="Q447" t="s">
        <v>34</v>
      </c>
      <c r="R447" t="s">
        <v>64</v>
      </c>
      <c r="S447">
        <v>2014</v>
      </c>
      <c r="T447" t="s">
        <v>36</v>
      </c>
      <c r="U447">
        <v>26351</v>
      </c>
      <c r="V447">
        <v>84.72</v>
      </c>
      <c r="W447">
        <v>30.88</v>
      </c>
      <c r="X447">
        <v>87.98</v>
      </c>
      <c r="Y447">
        <v>79.86</v>
      </c>
    </row>
    <row r="448" spans="1:25" x14ac:dyDescent="0.3">
      <c r="A448" t="s">
        <v>153</v>
      </c>
      <c r="B448" t="str">
        <f t="shared" si="6"/>
        <v>Jan</v>
      </c>
      <c r="C448" t="s">
        <v>32</v>
      </c>
      <c r="D448" t="s">
        <v>33</v>
      </c>
      <c r="E448">
        <v>342142529525.83002</v>
      </c>
      <c r="F448">
        <v>44534.52</v>
      </c>
      <c r="G448">
        <v>18756888421.23</v>
      </c>
      <c r="H448">
        <v>13124736</v>
      </c>
      <c r="I448">
        <v>16924405</v>
      </c>
      <c r="J448">
        <v>17703150</v>
      </c>
      <c r="K448">
        <v>26.28</v>
      </c>
      <c r="L448">
        <v>-2.76</v>
      </c>
      <c r="M448">
        <v>16.940000000000001</v>
      </c>
      <c r="N448">
        <v>18.46</v>
      </c>
      <c r="O448">
        <v>68</v>
      </c>
      <c r="P448" t="s">
        <v>51</v>
      </c>
      <c r="Q448" t="s">
        <v>47</v>
      </c>
      <c r="R448" t="s">
        <v>64</v>
      </c>
      <c r="S448">
        <v>2019</v>
      </c>
      <c r="T448" t="s">
        <v>36</v>
      </c>
      <c r="U448">
        <v>277</v>
      </c>
      <c r="V448">
        <v>63.41</v>
      </c>
      <c r="W448">
        <v>26.52</v>
      </c>
      <c r="X448">
        <v>83.79</v>
      </c>
      <c r="Y448">
        <v>17.79</v>
      </c>
    </row>
    <row r="449" spans="1:25" x14ac:dyDescent="0.3">
      <c r="A449" t="s">
        <v>104</v>
      </c>
      <c r="B449" t="str">
        <f t="shared" si="6"/>
        <v>Oct</v>
      </c>
      <c r="C449" t="s">
        <v>68</v>
      </c>
      <c r="D449" t="s">
        <v>69</v>
      </c>
      <c r="E449">
        <v>371559566387.59998</v>
      </c>
      <c r="F449">
        <v>49999.46</v>
      </c>
      <c r="G449">
        <v>26583958399.959999</v>
      </c>
      <c r="H449">
        <v>10107257</v>
      </c>
      <c r="I449">
        <v>10669474</v>
      </c>
      <c r="J449">
        <v>11253425</v>
      </c>
      <c r="K449">
        <v>9.35</v>
      </c>
      <c r="L449">
        <v>-0.47</v>
      </c>
      <c r="M449">
        <v>0.7</v>
      </c>
      <c r="N449">
        <v>-37.29</v>
      </c>
      <c r="O449">
        <v>134</v>
      </c>
      <c r="P449" t="s">
        <v>27</v>
      </c>
      <c r="Q449" t="s">
        <v>28</v>
      </c>
      <c r="R449" t="s">
        <v>74</v>
      </c>
      <c r="S449">
        <v>2017</v>
      </c>
      <c r="T449" t="s">
        <v>36</v>
      </c>
      <c r="U449">
        <v>48583</v>
      </c>
      <c r="V449">
        <v>27.06</v>
      </c>
      <c r="W449">
        <v>63.46</v>
      </c>
      <c r="X449">
        <v>88.66</v>
      </c>
      <c r="Y449">
        <v>77.760000000000005</v>
      </c>
    </row>
    <row r="450" spans="1:25" x14ac:dyDescent="0.3">
      <c r="A450" t="s">
        <v>229</v>
      </c>
      <c r="B450" t="str">
        <f t="shared" ref="B450:B513" si="7">TEXT(A450,"MMM")</f>
        <v>Oct</v>
      </c>
      <c r="C450" t="s">
        <v>90</v>
      </c>
      <c r="D450" t="s">
        <v>91</v>
      </c>
      <c r="E450">
        <v>120171907140.71001</v>
      </c>
      <c r="F450">
        <v>21254.65</v>
      </c>
      <c r="G450">
        <v>8485750456.5900002</v>
      </c>
      <c r="H450">
        <v>8661419</v>
      </c>
      <c r="I450">
        <v>12249394</v>
      </c>
      <c r="J450">
        <v>12734759</v>
      </c>
      <c r="K450">
        <v>4.4800000000000004</v>
      </c>
      <c r="L450">
        <v>4.09</v>
      </c>
      <c r="M450">
        <v>-4.72</v>
      </c>
      <c r="N450">
        <v>26.99</v>
      </c>
      <c r="O450">
        <v>174</v>
      </c>
      <c r="P450" t="s">
        <v>27</v>
      </c>
      <c r="Q450" t="s">
        <v>57</v>
      </c>
      <c r="R450" t="s">
        <v>35</v>
      </c>
      <c r="S450">
        <v>2021</v>
      </c>
      <c r="T450" t="s">
        <v>30</v>
      </c>
      <c r="U450">
        <v>3061</v>
      </c>
      <c r="V450">
        <v>89.5</v>
      </c>
      <c r="W450">
        <v>35.9</v>
      </c>
      <c r="X450">
        <v>15.98</v>
      </c>
      <c r="Y450">
        <v>48.42</v>
      </c>
    </row>
    <row r="451" spans="1:25" x14ac:dyDescent="0.3">
      <c r="A451" t="s">
        <v>207</v>
      </c>
      <c r="B451" t="str">
        <f t="shared" si="7"/>
        <v>Apr</v>
      </c>
      <c r="C451" t="s">
        <v>32</v>
      </c>
      <c r="D451" t="s">
        <v>33</v>
      </c>
      <c r="E451">
        <v>84340068693.460007</v>
      </c>
      <c r="F451">
        <v>6577.78</v>
      </c>
      <c r="G451">
        <v>37829576903.870003</v>
      </c>
      <c r="H451">
        <v>9248288</v>
      </c>
      <c r="I451">
        <v>13866479</v>
      </c>
      <c r="J451">
        <v>14569778</v>
      </c>
      <c r="K451">
        <v>19.61</v>
      </c>
      <c r="L451">
        <v>0.66</v>
      </c>
      <c r="M451">
        <v>10.32</v>
      </c>
      <c r="N451">
        <v>25.68</v>
      </c>
      <c r="O451">
        <v>112</v>
      </c>
      <c r="P451" t="s">
        <v>40</v>
      </c>
      <c r="Q451" t="s">
        <v>57</v>
      </c>
      <c r="R451" t="s">
        <v>42</v>
      </c>
      <c r="S451">
        <v>2017</v>
      </c>
      <c r="T451" t="s">
        <v>36</v>
      </c>
      <c r="U451">
        <v>7246</v>
      </c>
      <c r="V451">
        <v>27.73</v>
      </c>
      <c r="W451">
        <v>87.21</v>
      </c>
      <c r="X451">
        <v>28.61</v>
      </c>
      <c r="Y451">
        <v>58.27</v>
      </c>
    </row>
    <row r="452" spans="1:25" x14ac:dyDescent="0.3">
      <c r="A452" t="s">
        <v>248</v>
      </c>
      <c r="B452" t="str">
        <f t="shared" si="7"/>
        <v>May</v>
      </c>
      <c r="C452" t="s">
        <v>32</v>
      </c>
      <c r="D452" t="s">
        <v>33</v>
      </c>
      <c r="E452">
        <v>816877385831.08997</v>
      </c>
      <c r="F452">
        <v>24523.07</v>
      </c>
      <c r="G452">
        <v>38690407694.879997</v>
      </c>
      <c r="H452">
        <v>9303759</v>
      </c>
      <c r="I452">
        <v>12019493</v>
      </c>
      <c r="J452">
        <v>12412742</v>
      </c>
      <c r="K452">
        <v>27.22</v>
      </c>
      <c r="L452">
        <v>4.3499999999999996</v>
      </c>
      <c r="M452">
        <v>19.34</v>
      </c>
      <c r="N452">
        <v>6.73</v>
      </c>
      <c r="O452">
        <v>168</v>
      </c>
      <c r="P452" t="s">
        <v>40</v>
      </c>
      <c r="Q452" t="s">
        <v>41</v>
      </c>
      <c r="R452" t="s">
        <v>29</v>
      </c>
      <c r="S452">
        <v>2023</v>
      </c>
      <c r="T452" t="s">
        <v>36</v>
      </c>
      <c r="U452">
        <v>6501</v>
      </c>
      <c r="V452">
        <v>13.93</v>
      </c>
      <c r="W452">
        <v>53.79</v>
      </c>
      <c r="X452">
        <v>85.29</v>
      </c>
      <c r="Y452">
        <v>26.71</v>
      </c>
    </row>
    <row r="453" spans="1:25" x14ac:dyDescent="0.3">
      <c r="A453" t="s">
        <v>326</v>
      </c>
      <c r="B453" t="str">
        <f t="shared" si="7"/>
        <v>Dec</v>
      </c>
      <c r="C453" t="s">
        <v>38</v>
      </c>
      <c r="D453" t="s">
        <v>39</v>
      </c>
      <c r="E453">
        <v>524952336198.04999</v>
      </c>
      <c r="F453">
        <v>57907.96</v>
      </c>
      <c r="G453">
        <v>24477454654.02</v>
      </c>
      <c r="H453">
        <v>9563385</v>
      </c>
      <c r="I453">
        <v>14197872</v>
      </c>
      <c r="J453">
        <v>15137770</v>
      </c>
      <c r="K453">
        <v>45.79</v>
      </c>
      <c r="L453">
        <v>4.92</v>
      </c>
      <c r="M453">
        <v>11.3</v>
      </c>
      <c r="N453">
        <v>1.58</v>
      </c>
      <c r="O453">
        <v>106</v>
      </c>
      <c r="P453" t="s">
        <v>40</v>
      </c>
      <c r="Q453" t="s">
        <v>28</v>
      </c>
      <c r="R453" t="s">
        <v>64</v>
      </c>
      <c r="S453">
        <v>2022</v>
      </c>
      <c r="T453" t="s">
        <v>36</v>
      </c>
      <c r="U453">
        <v>24017</v>
      </c>
      <c r="V453">
        <v>78.680000000000007</v>
      </c>
      <c r="W453">
        <v>76.319999999999993</v>
      </c>
      <c r="X453">
        <v>46.77</v>
      </c>
      <c r="Y453">
        <v>82.63</v>
      </c>
    </row>
    <row r="454" spans="1:25" x14ac:dyDescent="0.3">
      <c r="A454" t="s">
        <v>138</v>
      </c>
      <c r="B454" t="str">
        <f t="shared" si="7"/>
        <v>Feb</v>
      </c>
      <c r="C454" t="s">
        <v>60</v>
      </c>
      <c r="D454" t="s">
        <v>61</v>
      </c>
      <c r="E454">
        <v>207379063354.70999</v>
      </c>
      <c r="F454">
        <v>44325.65</v>
      </c>
      <c r="G454">
        <v>12749971964.620001</v>
      </c>
      <c r="H454">
        <v>9811977</v>
      </c>
      <c r="I454">
        <v>13273391</v>
      </c>
      <c r="J454">
        <v>13628898</v>
      </c>
      <c r="K454">
        <v>18.32</v>
      </c>
      <c r="L454">
        <v>-0.56999999999999995</v>
      </c>
      <c r="M454">
        <v>3.83</v>
      </c>
      <c r="N454">
        <v>29.21</v>
      </c>
      <c r="O454">
        <v>84</v>
      </c>
      <c r="P454" t="s">
        <v>51</v>
      </c>
      <c r="Q454" t="s">
        <v>34</v>
      </c>
      <c r="R454" t="s">
        <v>35</v>
      </c>
      <c r="S454">
        <v>2011</v>
      </c>
      <c r="T454" t="s">
        <v>30</v>
      </c>
      <c r="U454">
        <v>26639</v>
      </c>
      <c r="V454">
        <v>51.42</v>
      </c>
      <c r="W454">
        <v>29.36</v>
      </c>
      <c r="X454">
        <v>90.83</v>
      </c>
      <c r="Y454">
        <v>62.5</v>
      </c>
    </row>
    <row r="455" spans="1:25" x14ac:dyDescent="0.3">
      <c r="A455" t="s">
        <v>327</v>
      </c>
      <c r="B455" t="str">
        <f t="shared" si="7"/>
        <v>Oct</v>
      </c>
      <c r="C455" t="s">
        <v>49</v>
      </c>
      <c r="D455" t="s">
        <v>50</v>
      </c>
      <c r="E455">
        <v>221204142559.10001</v>
      </c>
      <c r="F455">
        <v>26409.279999999999</v>
      </c>
      <c r="G455">
        <v>47124021315.269997</v>
      </c>
      <c r="H455">
        <v>18665864</v>
      </c>
      <c r="I455">
        <v>19037142</v>
      </c>
      <c r="J455">
        <v>19280711</v>
      </c>
      <c r="K455">
        <v>28.92</v>
      </c>
      <c r="L455">
        <v>3.87</v>
      </c>
      <c r="M455">
        <v>-8.07</v>
      </c>
      <c r="N455">
        <v>-39.03</v>
      </c>
      <c r="O455">
        <v>114</v>
      </c>
      <c r="P455" t="s">
        <v>51</v>
      </c>
      <c r="Q455" t="s">
        <v>28</v>
      </c>
      <c r="R455" t="s">
        <v>42</v>
      </c>
      <c r="S455">
        <v>2015</v>
      </c>
      <c r="T455" t="s">
        <v>36</v>
      </c>
      <c r="U455">
        <v>20550</v>
      </c>
      <c r="V455">
        <v>39.9</v>
      </c>
      <c r="W455">
        <v>89.97</v>
      </c>
      <c r="X455">
        <v>96.83</v>
      </c>
      <c r="Y455">
        <v>89.74</v>
      </c>
    </row>
    <row r="456" spans="1:25" x14ac:dyDescent="0.3">
      <c r="A456" t="s">
        <v>252</v>
      </c>
      <c r="B456" t="str">
        <f t="shared" si="7"/>
        <v>Apr</v>
      </c>
      <c r="C456" t="s">
        <v>32</v>
      </c>
      <c r="D456" t="s">
        <v>33</v>
      </c>
      <c r="E456">
        <v>745829155089.59998</v>
      </c>
      <c r="F456">
        <v>24873.27</v>
      </c>
      <c r="G456">
        <v>30184184705.77</v>
      </c>
      <c r="H456">
        <v>13294103</v>
      </c>
      <c r="I456">
        <v>17971118</v>
      </c>
      <c r="J456">
        <v>18488660</v>
      </c>
      <c r="K456">
        <v>10.39</v>
      </c>
      <c r="L456">
        <v>-3.71</v>
      </c>
      <c r="M456">
        <v>7.7</v>
      </c>
      <c r="N456">
        <v>-14.5</v>
      </c>
      <c r="O456">
        <v>77</v>
      </c>
      <c r="P456" t="s">
        <v>51</v>
      </c>
      <c r="Q456" t="s">
        <v>57</v>
      </c>
      <c r="R456" t="s">
        <v>35</v>
      </c>
      <c r="S456">
        <v>2015</v>
      </c>
      <c r="T456" t="s">
        <v>36</v>
      </c>
      <c r="U456">
        <v>21309</v>
      </c>
      <c r="V456">
        <v>58.13</v>
      </c>
      <c r="W456">
        <v>20.41</v>
      </c>
      <c r="X456">
        <v>14.34</v>
      </c>
      <c r="Y456">
        <v>69.599999999999994</v>
      </c>
    </row>
    <row r="457" spans="1:25" x14ac:dyDescent="0.3">
      <c r="A457" t="s">
        <v>105</v>
      </c>
      <c r="B457" t="str">
        <f t="shared" si="7"/>
        <v>Mar</v>
      </c>
      <c r="C457" t="s">
        <v>38</v>
      </c>
      <c r="D457" t="s">
        <v>39</v>
      </c>
      <c r="E457">
        <v>11983749522.48</v>
      </c>
      <c r="F457">
        <v>34002.61</v>
      </c>
      <c r="G457">
        <v>31872147342.150002</v>
      </c>
      <c r="H457">
        <v>7594815</v>
      </c>
      <c r="I457">
        <v>11268324</v>
      </c>
      <c r="J457">
        <v>12129621</v>
      </c>
      <c r="K457">
        <v>5.12</v>
      </c>
      <c r="L457">
        <v>2.19</v>
      </c>
      <c r="M457">
        <v>17.489999999999998</v>
      </c>
      <c r="N457">
        <v>-0.51</v>
      </c>
      <c r="O457">
        <v>198</v>
      </c>
      <c r="P457" t="s">
        <v>51</v>
      </c>
      <c r="Q457" t="s">
        <v>28</v>
      </c>
      <c r="R457" t="s">
        <v>42</v>
      </c>
      <c r="S457">
        <v>2018</v>
      </c>
      <c r="T457" t="s">
        <v>36</v>
      </c>
      <c r="U457">
        <v>62544</v>
      </c>
      <c r="V457">
        <v>31.79</v>
      </c>
      <c r="W457">
        <v>59.13</v>
      </c>
      <c r="X457">
        <v>55.88</v>
      </c>
      <c r="Y457">
        <v>13.5</v>
      </c>
    </row>
    <row r="458" spans="1:25" x14ac:dyDescent="0.3">
      <c r="A458" t="s">
        <v>328</v>
      </c>
      <c r="B458" t="str">
        <f t="shared" si="7"/>
        <v>Dec</v>
      </c>
      <c r="C458" t="s">
        <v>78</v>
      </c>
      <c r="D458" t="s">
        <v>79</v>
      </c>
      <c r="E458">
        <v>259765020616.45999</v>
      </c>
      <c r="F458">
        <v>1480.82</v>
      </c>
      <c r="G458">
        <v>12513642917.15</v>
      </c>
      <c r="H458">
        <v>4350984</v>
      </c>
      <c r="I458">
        <v>7813379</v>
      </c>
      <c r="J458">
        <v>7889106</v>
      </c>
      <c r="K458">
        <v>50.8</v>
      </c>
      <c r="L458">
        <v>2.0699999999999998</v>
      </c>
      <c r="M458">
        <v>15.44</v>
      </c>
      <c r="N458">
        <v>22.17</v>
      </c>
      <c r="O458">
        <v>93</v>
      </c>
      <c r="P458" t="s">
        <v>53</v>
      </c>
      <c r="Q458" t="s">
        <v>41</v>
      </c>
      <c r="R458" t="s">
        <v>29</v>
      </c>
      <c r="S458">
        <v>2011</v>
      </c>
      <c r="T458" t="s">
        <v>36</v>
      </c>
      <c r="U458">
        <v>54616</v>
      </c>
      <c r="V458">
        <v>98.91</v>
      </c>
      <c r="W458">
        <v>82.98</v>
      </c>
      <c r="X458">
        <v>79.739999999999995</v>
      </c>
      <c r="Y458">
        <v>90.75</v>
      </c>
    </row>
    <row r="459" spans="1:25" x14ac:dyDescent="0.3">
      <c r="A459" t="s">
        <v>254</v>
      </c>
      <c r="B459" t="str">
        <f t="shared" si="7"/>
        <v>Oct</v>
      </c>
      <c r="C459" t="s">
        <v>44</v>
      </c>
      <c r="D459" t="s">
        <v>45</v>
      </c>
      <c r="E459">
        <v>123178268179.84</v>
      </c>
      <c r="F459">
        <v>51013.23</v>
      </c>
      <c r="G459">
        <v>39972358294</v>
      </c>
      <c r="H459">
        <v>1595831</v>
      </c>
      <c r="I459">
        <v>3601532</v>
      </c>
      <c r="J459">
        <v>3913973</v>
      </c>
      <c r="K459">
        <v>24.92</v>
      </c>
      <c r="L459">
        <v>2.35</v>
      </c>
      <c r="M459">
        <v>19.8</v>
      </c>
      <c r="N459">
        <v>-2.63</v>
      </c>
      <c r="O459">
        <v>111</v>
      </c>
      <c r="P459" t="s">
        <v>51</v>
      </c>
      <c r="Q459" t="s">
        <v>41</v>
      </c>
      <c r="R459" t="s">
        <v>74</v>
      </c>
      <c r="S459">
        <v>2020</v>
      </c>
      <c r="T459" t="s">
        <v>36</v>
      </c>
      <c r="U459">
        <v>18790</v>
      </c>
      <c r="V459">
        <v>18.149999999999999</v>
      </c>
      <c r="W459">
        <v>40.799999999999997</v>
      </c>
      <c r="X459">
        <v>29.31</v>
      </c>
      <c r="Y459">
        <v>94.23</v>
      </c>
    </row>
    <row r="460" spans="1:25" x14ac:dyDescent="0.3">
      <c r="A460" t="s">
        <v>289</v>
      </c>
      <c r="B460" t="str">
        <f t="shared" si="7"/>
        <v>Jul</v>
      </c>
      <c r="C460" t="s">
        <v>90</v>
      </c>
      <c r="D460" t="s">
        <v>91</v>
      </c>
      <c r="E460">
        <v>796151287943.72998</v>
      </c>
      <c r="F460">
        <v>6787.06</v>
      </c>
      <c r="G460">
        <v>27055448462.32</v>
      </c>
      <c r="H460">
        <v>11742258</v>
      </c>
      <c r="I460">
        <v>14832488</v>
      </c>
      <c r="J460">
        <v>15540367</v>
      </c>
      <c r="K460">
        <v>4.66</v>
      </c>
      <c r="L460">
        <v>-1.72</v>
      </c>
      <c r="M460">
        <v>7.0000000000000007E-2</v>
      </c>
      <c r="N460">
        <v>4.1900000000000004</v>
      </c>
      <c r="O460">
        <v>200</v>
      </c>
      <c r="P460" t="s">
        <v>27</v>
      </c>
      <c r="Q460" t="s">
        <v>41</v>
      </c>
      <c r="R460" t="s">
        <v>29</v>
      </c>
      <c r="S460">
        <v>2018</v>
      </c>
      <c r="T460" t="s">
        <v>30</v>
      </c>
      <c r="U460">
        <v>34815</v>
      </c>
      <c r="V460">
        <v>16.23</v>
      </c>
      <c r="W460">
        <v>27.93</v>
      </c>
      <c r="X460">
        <v>85.3</v>
      </c>
      <c r="Y460">
        <v>25.06</v>
      </c>
    </row>
    <row r="461" spans="1:25" x14ac:dyDescent="0.3">
      <c r="A461" t="s">
        <v>191</v>
      </c>
      <c r="B461" t="str">
        <f t="shared" si="7"/>
        <v>Jul</v>
      </c>
      <c r="C461" t="s">
        <v>49</v>
      </c>
      <c r="D461" t="s">
        <v>50</v>
      </c>
      <c r="E461">
        <v>829050698508.62</v>
      </c>
      <c r="F461">
        <v>10195.65</v>
      </c>
      <c r="G461">
        <v>46743709063.470001</v>
      </c>
      <c r="H461">
        <v>18680078</v>
      </c>
      <c r="I461">
        <v>18723178</v>
      </c>
      <c r="J461">
        <v>18973462</v>
      </c>
      <c r="K461">
        <v>32.43</v>
      </c>
      <c r="L461">
        <v>-0.61</v>
      </c>
      <c r="M461">
        <v>13.07</v>
      </c>
      <c r="N461">
        <v>33.24</v>
      </c>
      <c r="O461">
        <v>76</v>
      </c>
      <c r="P461" t="s">
        <v>53</v>
      </c>
      <c r="Q461" t="s">
        <v>57</v>
      </c>
      <c r="R461" t="s">
        <v>64</v>
      </c>
      <c r="S461">
        <v>2016</v>
      </c>
      <c r="T461" t="s">
        <v>36</v>
      </c>
      <c r="U461">
        <v>56919</v>
      </c>
      <c r="V461">
        <v>61.21</v>
      </c>
      <c r="W461">
        <v>67.22</v>
      </c>
      <c r="X461">
        <v>40.130000000000003</v>
      </c>
      <c r="Y461">
        <v>76.61</v>
      </c>
    </row>
    <row r="462" spans="1:25" x14ac:dyDescent="0.3">
      <c r="A462" t="s">
        <v>177</v>
      </c>
      <c r="B462" t="str">
        <f t="shared" si="7"/>
        <v>Jan</v>
      </c>
      <c r="C462" t="s">
        <v>44</v>
      </c>
      <c r="D462" t="s">
        <v>45</v>
      </c>
      <c r="E462">
        <v>435447012043.35999</v>
      </c>
      <c r="F462">
        <v>49992.88</v>
      </c>
      <c r="G462">
        <v>2591068498.1900001</v>
      </c>
      <c r="H462">
        <v>18533160</v>
      </c>
      <c r="I462">
        <v>20901653</v>
      </c>
      <c r="J462">
        <v>21257605</v>
      </c>
      <c r="K462">
        <v>43.71</v>
      </c>
      <c r="L462">
        <v>3.32</v>
      </c>
      <c r="M462">
        <v>10.74</v>
      </c>
      <c r="N462">
        <v>19.489999999999998</v>
      </c>
      <c r="O462">
        <v>186</v>
      </c>
      <c r="P462" t="s">
        <v>51</v>
      </c>
      <c r="Q462" t="s">
        <v>57</v>
      </c>
      <c r="R462" t="s">
        <v>42</v>
      </c>
      <c r="S462">
        <v>2013</v>
      </c>
      <c r="T462" t="s">
        <v>36</v>
      </c>
      <c r="U462">
        <v>30740</v>
      </c>
      <c r="V462">
        <v>95.67</v>
      </c>
      <c r="W462">
        <v>94.52</v>
      </c>
      <c r="X462">
        <v>20.2</v>
      </c>
      <c r="Y462">
        <v>89.03</v>
      </c>
    </row>
    <row r="463" spans="1:25" x14ac:dyDescent="0.3">
      <c r="A463" t="s">
        <v>329</v>
      </c>
      <c r="B463" t="str">
        <f t="shared" si="7"/>
        <v>Oct</v>
      </c>
      <c r="C463" t="s">
        <v>55</v>
      </c>
      <c r="D463" t="s">
        <v>56</v>
      </c>
      <c r="E463">
        <v>687136273965.14001</v>
      </c>
      <c r="F463">
        <v>36184.239999999998</v>
      </c>
      <c r="G463">
        <v>638704041.67999995</v>
      </c>
      <c r="H463">
        <v>6213291</v>
      </c>
      <c r="I463">
        <v>8850094</v>
      </c>
      <c r="J463">
        <v>9753867</v>
      </c>
      <c r="K463">
        <v>3.66</v>
      </c>
      <c r="L463">
        <v>-3.53</v>
      </c>
      <c r="M463">
        <v>-5.6</v>
      </c>
      <c r="N463">
        <v>27.87</v>
      </c>
      <c r="O463">
        <v>107</v>
      </c>
      <c r="P463" t="s">
        <v>46</v>
      </c>
      <c r="Q463" t="s">
        <v>57</v>
      </c>
      <c r="R463" t="s">
        <v>29</v>
      </c>
      <c r="S463">
        <v>2010</v>
      </c>
      <c r="T463" t="s">
        <v>58</v>
      </c>
      <c r="U463">
        <v>19313</v>
      </c>
      <c r="V463">
        <v>19.309999999999999</v>
      </c>
      <c r="W463">
        <v>63.66</v>
      </c>
      <c r="X463">
        <v>78.2</v>
      </c>
      <c r="Y463">
        <v>89.79</v>
      </c>
    </row>
    <row r="464" spans="1:25" x14ac:dyDescent="0.3">
      <c r="A464" t="s">
        <v>170</v>
      </c>
      <c r="B464" t="str">
        <f t="shared" si="7"/>
        <v>Sep</v>
      </c>
      <c r="C464" t="s">
        <v>55</v>
      </c>
      <c r="D464" t="s">
        <v>56</v>
      </c>
      <c r="E464">
        <v>335324853858.21997</v>
      </c>
      <c r="F464">
        <v>17841.43</v>
      </c>
      <c r="G464">
        <v>47045172724.919998</v>
      </c>
      <c r="H464">
        <v>14669725</v>
      </c>
      <c r="I464">
        <v>19480557</v>
      </c>
      <c r="J464">
        <v>20346642</v>
      </c>
      <c r="K464">
        <v>51.36</v>
      </c>
      <c r="L464">
        <v>3.39</v>
      </c>
      <c r="M464">
        <v>-15.16</v>
      </c>
      <c r="N464">
        <v>38.83</v>
      </c>
      <c r="O464">
        <v>158</v>
      </c>
      <c r="P464" t="s">
        <v>27</v>
      </c>
      <c r="Q464" t="s">
        <v>47</v>
      </c>
      <c r="R464" t="s">
        <v>29</v>
      </c>
      <c r="S464">
        <v>2020</v>
      </c>
      <c r="T464" t="s">
        <v>58</v>
      </c>
      <c r="U464">
        <v>56766</v>
      </c>
      <c r="V464">
        <v>47.52</v>
      </c>
      <c r="W464">
        <v>32.35</v>
      </c>
      <c r="X464">
        <v>30.54</v>
      </c>
      <c r="Y464">
        <v>64.47</v>
      </c>
    </row>
    <row r="465" spans="1:25" x14ac:dyDescent="0.3">
      <c r="A465" t="s">
        <v>24</v>
      </c>
      <c r="B465" t="str">
        <f t="shared" si="7"/>
        <v>Jul</v>
      </c>
      <c r="C465" t="s">
        <v>49</v>
      </c>
      <c r="D465" t="s">
        <v>50</v>
      </c>
      <c r="E465">
        <v>854905651702.60999</v>
      </c>
      <c r="F465">
        <v>11910.47</v>
      </c>
      <c r="G465">
        <v>4163484178.98</v>
      </c>
      <c r="H465">
        <v>9153938</v>
      </c>
      <c r="I465">
        <v>12981931</v>
      </c>
      <c r="J465">
        <v>13001350</v>
      </c>
      <c r="K465">
        <v>28.3</v>
      </c>
      <c r="L465">
        <v>-0.34</v>
      </c>
      <c r="M465">
        <v>16.09</v>
      </c>
      <c r="N465">
        <v>28.45</v>
      </c>
      <c r="O465">
        <v>22</v>
      </c>
      <c r="P465" t="s">
        <v>27</v>
      </c>
      <c r="Q465" t="s">
        <v>57</v>
      </c>
      <c r="R465" t="s">
        <v>64</v>
      </c>
      <c r="S465">
        <v>2012</v>
      </c>
      <c r="T465" t="s">
        <v>36</v>
      </c>
      <c r="U465">
        <v>2074</v>
      </c>
      <c r="V465">
        <v>56.01</v>
      </c>
      <c r="W465">
        <v>24.47</v>
      </c>
      <c r="X465">
        <v>21.62</v>
      </c>
      <c r="Y465">
        <v>57.73</v>
      </c>
    </row>
    <row r="466" spans="1:25" x14ac:dyDescent="0.3">
      <c r="A466" t="s">
        <v>295</v>
      </c>
      <c r="B466" t="str">
        <f t="shared" si="7"/>
        <v>Sep</v>
      </c>
      <c r="C466" t="s">
        <v>60</v>
      </c>
      <c r="D466" t="s">
        <v>61</v>
      </c>
      <c r="E466">
        <v>121025795143.50999</v>
      </c>
      <c r="F466">
        <v>23078.48</v>
      </c>
      <c r="G466">
        <v>33861608193.830002</v>
      </c>
      <c r="H466">
        <v>4651207</v>
      </c>
      <c r="I466">
        <v>5059036</v>
      </c>
      <c r="J466">
        <v>5119464</v>
      </c>
      <c r="K466">
        <v>15.87</v>
      </c>
      <c r="L466">
        <v>-1.04</v>
      </c>
      <c r="M466">
        <v>-16.77</v>
      </c>
      <c r="N466">
        <v>23.22</v>
      </c>
      <c r="O466">
        <v>85</v>
      </c>
      <c r="P466" t="s">
        <v>27</v>
      </c>
      <c r="Q466" t="s">
        <v>41</v>
      </c>
      <c r="R466" t="s">
        <v>74</v>
      </c>
      <c r="S466">
        <v>2017</v>
      </c>
      <c r="T466" t="s">
        <v>30</v>
      </c>
      <c r="U466">
        <v>45166</v>
      </c>
      <c r="V466">
        <v>67.25</v>
      </c>
      <c r="W466">
        <v>74.39</v>
      </c>
      <c r="X466">
        <v>13.14</v>
      </c>
      <c r="Y466">
        <v>85.44</v>
      </c>
    </row>
    <row r="467" spans="1:25" x14ac:dyDescent="0.3">
      <c r="A467" t="s">
        <v>288</v>
      </c>
      <c r="B467" t="str">
        <f t="shared" si="7"/>
        <v>Mar</v>
      </c>
      <c r="C467" t="s">
        <v>49</v>
      </c>
      <c r="D467" t="s">
        <v>50</v>
      </c>
      <c r="E467">
        <v>203963645175.48999</v>
      </c>
      <c r="F467">
        <v>6349.91</v>
      </c>
      <c r="G467">
        <v>44301623371.620003</v>
      </c>
      <c r="H467">
        <v>1030728</v>
      </c>
      <c r="I467">
        <v>5352425</v>
      </c>
      <c r="J467">
        <v>6147545</v>
      </c>
      <c r="K467">
        <v>16.57</v>
      </c>
      <c r="L467">
        <v>0.43</v>
      </c>
      <c r="M467">
        <v>-12.59</v>
      </c>
      <c r="N467">
        <v>-33.79</v>
      </c>
      <c r="O467">
        <v>31</v>
      </c>
      <c r="P467" t="s">
        <v>51</v>
      </c>
      <c r="Q467" t="s">
        <v>41</v>
      </c>
      <c r="R467" t="s">
        <v>74</v>
      </c>
      <c r="S467">
        <v>2015</v>
      </c>
      <c r="T467" t="s">
        <v>36</v>
      </c>
      <c r="U467">
        <v>27578</v>
      </c>
      <c r="V467">
        <v>15.98</v>
      </c>
      <c r="W467">
        <v>89.46</v>
      </c>
      <c r="X467">
        <v>78.33</v>
      </c>
      <c r="Y467">
        <v>98.93</v>
      </c>
    </row>
    <row r="468" spans="1:25" x14ac:dyDescent="0.3">
      <c r="A468" t="s">
        <v>330</v>
      </c>
      <c r="B468" t="str">
        <f t="shared" si="7"/>
        <v>May</v>
      </c>
      <c r="C468" t="s">
        <v>44</v>
      </c>
      <c r="D468" t="s">
        <v>45</v>
      </c>
      <c r="E468">
        <v>727864976382.90002</v>
      </c>
      <c r="F468">
        <v>58844.74</v>
      </c>
      <c r="G468">
        <v>29953332797.580002</v>
      </c>
      <c r="H468">
        <v>11727626</v>
      </c>
      <c r="I468">
        <v>16611774</v>
      </c>
      <c r="J468">
        <v>16890949</v>
      </c>
      <c r="K468">
        <v>25.79</v>
      </c>
      <c r="L468">
        <v>-4.47</v>
      </c>
      <c r="M468">
        <v>4.1500000000000004</v>
      </c>
      <c r="N468">
        <v>5.01</v>
      </c>
      <c r="O468">
        <v>191</v>
      </c>
      <c r="P468" t="s">
        <v>53</v>
      </c>
      <c r="Q468" t="s">
        <v>41</v>
      </c>
      <c r="R468" t="s">
        <v>42</v>
      </c>
      <c r="S468">
        <v>2023</v>
      </c>
      <c r="T468" t="s">
        <v>36</v>
      </c>
      <c r="U468">
        <v>19795</v>
      </c>
      <c r="V468">
        <v>63.25</v>
      </c>
      <c r="W468">
        <v>62.76</v>
      </c>
      <c r="X468">
        <v>26.21</v>
      </c>
      <c r="Y468">
        <v>33.340000000000003</v>
      </c>
    </row>
    <row r="469" spans="1:25" x14ac:dyDescent="0.3">
      <c r="A469" t="s">
        <v>331</v>
      </c>
      <c r="B469" t="str">
        <f t="shared" si="7"/>
        <v>Oct</v>
      </c>
      <c r="C469" t="s">
        <v>25</v>
      </c>
      <c r="D469" t="s">
        <v>26</v>
      </c>
      <c r="E469">
        <v>676273764538.48999</v>
      </c>
      <c r="F469">
        <v>37564.629999999997</v>
      </c>
      <c r="G469">
        <v>20388418326.049999</v>
      </c>
      <c r="H469">
        <v>6241733</v>
      </c>
      <c r="I469">
        <v>10901035</v>
      </c>
      <c r="J469">
        <v>11881128</v>
      </c>
      <c r="K469">
        <v>47.55</v>
      </c>
      <c r="L469">
        <v>-0.19</v>
      </c>
      <c r="M469">
        <v>16.71</v>
      </c>
      <c r="N469">
        <v>15.44</v>
      </c>
      <c r="O469">
        <v>138</v>
      </c>
      <c r="P469" t="s">
        <v>46</v>
      </c>
      <c r="Q469" t="s">
        <v>47</v>
      </c>
      <c r="R469" t="s">
        <v>42</v>
      </c>
      <c r="S469">
        <v>2016</v>
      </c>
      <c r="T469" t="s">
        <v>30</v>
      </c>
      <c r="U469">
        <v>35592</v>
      </c>
      <c r="V469">
        <v>34.4</v>
      </c>
      <c r="W469">
        <v>76.13</v>
      </c>
      <c r="X469">
        <v>66.58</v>
      </c>
      <c r="Y469">
        <v>55.49</v>
      </c>
    </row>
    <row r="470" spans="1:25" x14ac:dyDescent="0.3">
      <c r="A470" t="s">
        <v>181</v>
      </c>
      <c r="B470" t="str">
        <f t="shared" si="7"/>
        <v>Dec</v>
      </c>
      <c r="C470" t="s">
        <v>32</v>
      </c>
      <c r="D470" t="s">
        <v>33</v>
      </c>
      <c r="E470">
        <v>510673907520.40997</v>
      </c>
      <c r="F470">
        <v>65348.98</v>
      </c>
      <c r="G470">
        <v>3306009672.5799999</v>
      </c>
      <c r="H470">
        <v>15563144</v>
      </c>
      <c r="I470">
        <v>16990348</v>
      </c>
      <c r="J470">
        <v>17000484</v>
      </c>
      <c r="K470">
        <v>29.78</v>
      </c>
      <c r="L470">
        <v>-3.14</v>
      </c>
      <c r="M470">
        <v>3.62</v>
      </c>
      <c r="N470">
        <v>-1.18</v>
      </c>
      <c r="O470">
        <v>140</v>
      </c>
      <c r="P470" t="s">
        <v>46</v>
      </c>
      <c r="Q470" t="s">
        <v>57</v>
      </c>
      <c r="R470" t="s">
        <v>64</v>
      </c>
      <c r="S470">
        <v>2015</v>
      </c>
      <c r="T470" t="s">
        <v>36</v>
      </c>
      <c r="U470">
        <v>31740</v>
      </c>
      <c r="V470">
        <v>96.41</v>
      </c>
      <c r="W470">
        <v>40.69</v>
      </c>
      <c r="X470">
        <v>26.32</v>
      </c>
      <c r="Y470">
        <v>92.63</v>
      </c>
    </row>
    <row r="471" spans="1:25" x14ac:dyDescent="0.3">
      <c r="A471" t="s">
        <v>172</v>
      </c>
      <c r="B471" t="str">
        <f t="shared" si="7"/>
        <v>Aug</v>
      </c>
      <c r="C471" t="s">
        <v>68</v>
      </c>
      <c r="D471" t="s">
        <v>69</v>
      </c>
      <c r="E471">
        <v>195178428654.45999</v>
      </c>
      <c r="F471">
        <v>21625.85</v>
      </c>
      <c r="G471">
        <v>12326293612.790001</v>
      </c>
      <c r="H471">
        <v>1563437</v>
      </c>
      <c r="I471">
        <v>2467383</v>
      </c>
      <c r="J471">
        <v>2589157</v>
      </c>
      <c r="K471">
        <v>11.68</v>
      </c>
      <c r="L471">
        <v>-3.94</v>
      </c>
      <c r="M471">
        <v>11.84</v>
      </c>
      <c r="N471">
        <v>30.18</v>
      </c>
      <c r="O471">
        <v>93</v>
      </c>
      <c r="P471" t="s">
        <v>46</v>
      </c>
      <c r="Q471" t="s">
        <v>57</v>
      </c>
      <c r="R471" t="s">
        <v>35</v>
      </c>
      <c r="S471">
        <v>2021</v>
      </c>
      <c r="T471" t="s">
        <v>36</v>
      </c>
      <c r="U471">
        <v>47641</v>
      </c>
      <c r="V471">
        <v>18.25</v>
      </c>
      <c r="W471">
        <v>76.790000000000006</v>
      </c>
      <c r="X471">
        <v>81.28</v>
      </c>
      <c r="Y471">
        <v>69.569999999999993</v>
      </c>
    </row>
    <row r="472" spans="1:25" x14ac:dyDescent="0.3">
      <c r="A472" t="s">
        <v>277</v>
      </c>
      <c r="B472" t="str">
        <f t="shared" si="7"/>
        <v>Dec</v>
      </c>
      <c r="C472" t="s">
        <v>90</v>
      </c>
      <c r="D472" t="s">
        <v>91</v>
      </c>
      <c r="E472">
        <v>717697117460.51001</v>
      </c>
      <c r="F472">
        <v>65838.02</v>
      </c>
      <c r="G472">
        <v>26395737132.939999</v>
      </c>
      <c r="H472">
        <v>3693499</v>
      </c>
      <c r="I472">
        <v>8232928</v>
      </c>
      <c r="J472">
        <v>8292786</v>
      </c>
      <c r="K472">
        <v>32.57</v>
      </c>
      <c r="L472">
        <v>-0.53</v>
      </c>
      <c r="M472">
        <v>4.42</v>
      </c>
      <c r="N472">
        <v>-23.71</v>
      </c>
      <c r="O472">
        <v>38</v>
      </c>
      <c r="P472" t="s">
        <v>46</v>
      </c>
      <c r="Q472" t="s">
        <v>41</v>
      </c>
      <c r="R472" t="s">
        <v>74</v>
      </c>
      <c r="S472">
        <v>2017</v>
      </c>
      <c r="T472" t="s">
        <v>30</v>
      </c>
      <c r="U472">
        <v>56141</v>
      </c>
      <c r="V472">
        <v>27.17</v>
      </c>
      <c r="W472">
        <v>64.63</v>
      </c>
      <c r="X472">
        <v>95.31</v>
      </c>
      <c r="Y472">
        <v>60.01</v>
      </c>
    </row>
    <row r="473" spans="1:25" x14ac:dyDescent="0.3">
      <c r="A473" t="s">
        <v>327</v>
      </c>
      <c r="B473" t="str">
        <f t="shared" si="7"/>
        <v>Oct</v>
      </c>
      <c r="C473" t="s">
        <v>25</v>
      </c>
      <c r="D473" t="s">
        <v>26</v>
      </c>
      <c r="E473">
        <v>206806086102.32999</v>
      </c>
      <c r="F473">
        <v>9954.98</v>
      </c>
      <c r="G473">
        <v>20272690003.959999</v>
      </c>
      <c r="H473">
        <v>14799198</v>
      </c>
      <c r="I473">
        <v>16021976</v>
      </c>
      <c r="J473">
        <v>16798180</v>
      </c>
      <c r="K473">
        <v>47.67</v>
      </c>
      <c r="L473">
        <v>-0.89</v>
      </c>
      <c r="M473">
        <v>-6.43</v>
      </c>
      <c r="N473">
        <v>17.649999999999999</v>
      </c>
      <c r="O473">
        <v>21</v>
      </c>
      <c r="P473" t="s">
        <v>27</v>
      </c>
      <c r="Q473" t="s">
        <v>47</v>
      </c>
      <c r="R473" t="s">
        <v>42</v>
      </c>
      <c r="S473">
        <v>2022</v>
      </c>
      <c r="T473" t="s">
        <v>30</v>
      </c>
      <c r="U473">
        <v>17980</v>
      </c>
      <c r="V473">
        <v>19.25</v>
      </c>
      <c r="W473">
        <v>43.34</v>
      </c>
      <c r="X473">
        <v>34.85</v>
      </c>
      <c r="Y473">
        <v>96.99</v>
      </c>
    </row>
    <row r="474" spans="1:25" x14ac:dyDescent="0.3">
      <c r="A474" t="s">
        <v>280</v>
      </c>
      <c r="B474" t="str">
        <f t="shared" si="7"/>
        <v>Nov</v>
      </c>
      <c r="C474" t="s">
        <v>25</v>
      </c>
      <c r="D474" t="s">
        <v>26</v>
      </c>
      <c r="E474">
        <v>93007430728.149994</v>
      </c>
      <c r="F474">
        <v>31768.54</v>
      </c>
      <c r="G474">
        <v>49302374397</v>
      </c>
      <c r="H474">
        <v>11807309</v>
      </c>
      <c r="I474">
        <v>15019247</v>
      </c>
      <c r="J474">
        <v>15929877</v>
      </c>
      <c r="K474">
        <v>14.1</v>
      </c>
      <c r="L474">
        <v>4.25</v>
      </c>
      <c r="M474">
        <v>-0.66</v>
      </c>
      <c r="N474">
        <v>30.61</v>
      </c>
      <c r="O474">
        <v>166</v>
      </c>
      <c r="P474" t="s">
        <v>53</v>
      </c>
      <c r="Q474" t="s">
        <v>57</v>
      </c>
      <c r="R474" t="s">
        <v>29</v>
      </c>
      <c r="S474">
        <v>2023</v>
      </c>
      <c r="T474" t="s">
        <v>30</v>
      </c>
      <c r="U474">
        <v>62857</v>
      </c>
      <c r="V474">
        <v>52</v>
      </c>
      <c r="W474">
        <v>36.69</v>
      </c>
      <c r="X474">
        <v>24.42</v>
      </c>
      <c r="Y474">
        <v>32.950000000000003</v>
      </c>
    </row>
    <row r="475" spans="1:25" x14ac:dyDescent="0.3">
      <c r="A475" t="s">
        <v>315</v>
      </c>
      <c r="B475" t="str">
        <f t="shared" si="7"/>
        <v>Sep</v>
      </c>
      <c r="C475" t="s">
        <v>44</v>
      </c>
      <c r="D475" t="s">
        <v>45</v>
      </c>
      <c r="E475">
        <v>854534593662.38</v>
      </c>
      <c r="F475">
        <v>58617.24</v>
      </c>
      <c r="G475">
        <v>44891139361.660004</v>
      </c>
      <c r="H475">
        <v>12428474</v>
      </c>
      <c r="I475">
        <v>14982289</v>
      </c>
      <c r="J475">
        <v>15027121</v>
      </c>
      <c r="K475">
        <v>23.96</v>
      </c>
      <c r="L475">
        <v>1.71</v>
      </c>
      <c r="M475">
        <v>15.91</v>
      </c>
      <c r="N475">
        <v>-13.65</v>
      </c>
      <c r="O475">
        <v>67</v>
      </c>
      <c r="P475" t="s">
        <v>53</v>
      </c>
      <c r="Q475" t="s">
        <v>34</v>
      </c>
      <c r="R475" t="s">
        <v>64</v>
      </c>
      <c r="S475">
        <v>2023</v>
      </c>
      <c r="T475" t="s">
        <v>36</v>
      </c>
      <c r="U475">
        <v>45412</v>
      </c>
      <c r="V475">
        <v>85.59</v>
      </c>
      <c r="W475">
        <v>37.799999999999997</v>
      </c>
      <c r="X475">
        <v>69.63</v>
      </c>
      <c r="Y475">
        <v>57.02</v>
      </c>
    </row>
    <row r="476" spans="1:25" x14ac:dyDescent="0.3">
      <c r="A476" t="s">
        <v>332</v>
      </c>
      <c r="B476" t="str">
        <f t="shared" si="7"/>
        <v>Aug</v>
      </c>
      <c r="C476" t="s">
        <v>55</v>
      </c>
      <c r="D476" t="s">
        <v>56</v>
      </c>
      <c r="E476">
        <v>268246387506</v>
      </c>
      <c r="F476">
        <v>25200.3</v>
      </c>
      <c r="G476">
        <v>9092695708.0599995</v>
      </c>
      <c r="H476">
        <v>15700852</v>
      </c>
      <c r="I476">
        <v>16835730</v>
      </c>
      <c r="J476">
        <v>17706453</v>
      </c>
      <c r="K476">
        <v>33.770000000000003</v>
      </c>
      <c r="L476">
        <v>4.37</v>
      </c>
      <c r="M476">
        <v>-0.66</v>
      </c>
      <c r="N476">
        <v>1.61</v>
      </c>
      <c r="O476">
        <v>17</v>
      </c>
      <c r="P476" t="s">
        <v>51</v>
      </c>
      <c r="Q476" t="s">
        <v>28</v>
      </c>
      <c r="R476" t="s">
        <v>29</v>
      </c>
      <c r="S476">
        <v>2019</v>
      </c>
      <c r="T476" t="s">
        <v>58</v>
      </c>
      <c r="U476">
        <v>27655</v>
      </c>
      <c r="V476">
        <v>68.3</v>
      </c>
      <c r="W476">
        <v>75.31</v>
      </c>
      <c r="X476">
        <v>93.34</v>
      </c>
      <c r="Y476">
        <v>88.11</v>
      </c>
    </row>
    <row r="477" spans="1:25" x14ac:dyDescent="0.3">
      <c r="A477" t="s">
        <v>308</v>
      </c>
      <c r="B477" t="str">
        <f t="shared" si="7"/>
        <v>Sep</v>
      </c>
      <c r="C477" t="s">
        <v>68</v>
      </c>
      <c r="D477" t="s">
        <v>69</v>
      </c>
      <c r="E477">
        <v>178278559313.39999</v>
      </c>
      <c r="F477">
        <v>55063.72</v>
      </c>
      <c r="G477">
        <v>32286337066.709999</v>
      </c>
      <c r="H477">
        <v>6499231</v>
      </c>
      <c r="I477">
        <v>7860818</v>
      </c>
      <c r="J477">
        <v>8377982</v>
      </c>
      <c r="K477">
        <v>27.81</v>
      </c>
      <c r="L477">
        <v>3.49</v>
      </c>
      <c r="M477">
        <v>-19.850000000000001</v>
      </c>
      <c r="N477">
        <v>37.520000000000003</v>
      </c>
      <c r="O477">
        <v>156</v>
      </c>
      <c r="P477" t="s">
        <v>51</v>
      </c>
      <c r="Q477" t="s">
        <v>28</v>
      </c>
      <c r="R477" t="s">
        <v>35</v>
      </c>
      <c r="S477">
        <v>2015</v>
      </c>
      <c r="T477" t="s">
        <v>36</v>
      </c>
      <c r="U477">
        <v>35732</v>
      </c>
      <c r="V477">
        <v>15.39</v>
      </c>
      <c r="W477">
        <v>59.57</v>
      </c>
      <c r="X477">
        <v>99.14</v>
      </c>
      <c r="Y477">
        <v>80.23</v>
      </c>
    </row>
    <row r="478" spans="1:25" x14ac:dyDescent="0.3">
      <c r="A478" t="s">
        <v>273</v>
      </c>
      <c r="B478" t="str">
        <f t="shared" si="7"/>
        <v>Mar</v>
      </c>
      <c r="C478" t="s">
        <v>90</v>
      </c>
      <c r="D478" t="s">
        <v>91</v>
      </c>
      <c r="E478">
        <v>210852931731.75</v>
      </c>
      <c r="F478">
        <v>11491.96</v>
      </c>
      <c r="G478">
        <v>20739140102.279999</v>
      </c>
      <c r="H478">
        <v>13912440</v>
      </c>
      <c r="I478">
        <v>16465192</v>
      </c>
      <c r="J478">
        <v>16470700</v>
      </c>
      <c r="K478">
        <v>26.96</v>
      </c>
      <c r="L478">
        <v>-1.86</v>
      </c>
      <c r="M478">
        <v>-1.32</v>
      </c>
      <c r="N478">
        <v>36.51</v>
      </c>
      <c r="O478">
        <v>187</v>
      </c>
      <c r="P478" t="s">
        <v>53</v>
      </c>
      <c r="Q478" t="s">
        <v>41</v>
      </c>
      <c r="R478" t="s">
        <v>74</v>
      </c>
      <c r="S478">
        <v>2020</v>
      </c>
      <c r="T478" t="s">
        <v>30</v>
      </c>
      <c r="U478">
        <v>38831</v>
      </c>
      <c r="V478">
        <v>43.37</v>
      </c>
      <c r="W478">
        <v>60.92</v>
      </c>
      <c r="X478">
        <v>44.39</v>
      </c>
      <c r="Y478">
        <v>37.61</v>
      </c>
    </row>
    <row r="479" spans="1:25" x14ac:dyDescent="0.3">
      <c r="A479" t="s">
        <v>333</v>
      </c>
      <c r="B479" t="str">
        <f t="shared" si="7"/>
        <v>Oct</v>
      </c>
      <c r="C479" t="s">
        <v>44</v>
      </c>
      <c r="D479" t="s">
        <v>45</v>
      </c>
      <c r="E479">
        <v>886875837028.34998</v>
      </c>
      <c r="F479">
        <v>65275.040000000001</v>
      </c>
      <c r="G479">
        <v>35022043582.199997</v>
      </c>
      <c r="H479">
        <v>13255999</v>
      </c>
      <c r="I479">
        <v>16326445</v>
      </c>
      <c r="J479">
        <v>17056650</v>
      </c>
      <c r="K479">
        <v>8.67</v>
      </c>
      <c r="L479">
        <v>3.36</v>
      </c>
      <c r="M479">
        <v>16.3</v>
      </c>
      <c r="N479">
        <v>-24.24</v>
      </c>
      <c r="O479">
        <v>133</v>
      </c>
      <c r="P479" t="s">
        <v>53</v>
      </c>
      <c r="Q479" t="s">
        <v>47</v>
      </c>
      <c r="R479" t="s">
        <v>64</v>
      </c>
      <c r="S479">
        <v>2013</v>
      </c>
      <c r="T479" t="s">
        <v>36</v>
      </c>
      <c r="U479">
        <v>51414</v>
      </c>
      <c r="V479">
        <v>17.149999999999999</v>
      </c>
      <c r="W479">
        <v>83.67</v>
      </c>
      <c r="X479">
        <v>21.41</v>
      </c>
      <c r="Y479">
        <v>38.49</v>
      </c>
    </row>
    <row r="480" spans="1:25" x14ac:dyDescent="0.3">
      <c r="A480" t="s">
        <v>188</v>
      </c>
      <c r="B480" t="str">
        <f t="shared" si="7"/>
        <v>Dec</v>
      </c>
      <c r="C480" t="s">
        <v>60</v>
      </c>
      <c r="D480" t="s">
        <v>61</v>
      </c>
      <c r="E480">
        <v>295923975366.53998</v>
      </c>
      <c r="F480">
        <v>2082.81</v>
      </c>
      <c r="G480">
        <v>44625774242.68</v>
      </c>
      <c r="H480">
        <v>3778581</v>
      </c>
      <c r="I480">
        <v>4552194</v>
      </c>
      <c r="J480">
        <v>5002308</v>
      </c>
      <c r="K480">
        <v>15.67</v>
      </c>
      <c r="L480">
        <v>3.61</v>
      </c>
      <c r="M480">
        <v>14.66</v>
      </c>
      <c r="N480">
        <v>24.8</v>
      </c>
      <c r="O480">
        <v>134</v>
      </c>
      <c r="P480" t="s">
        <v>53</v>
      </c>
      <c r="Q480" t="s">
        <v>28</v>
      </c>
      <c r="R480" t="s">
        <v>29</v>
      </c>
      <c r="S480">
        <v>2011</v>
      </c>
      <c r="T480" t="s">
        <v>30</v>
      </c>
      <c r="U480">
        <v>29656</v>
      </c>
      <c r="V480">
        <v>39.840000000000003</v>
      </c>
      <c r="W480">
        <v>66.03</v>
      </c>
      <c r="X480">
        <v>82.56</v>
      </c>
      <c r="Y480">
        <v>59.46</v>
      </c>
    </row>
    <row r="481" spans="1:25" x14ac:dyDescent="0.3">
      <c r="A481" t="s">
        <v>198</v>
      </c>
      <c r="B481" t="str">
        <f t="shared" si="7"/>
        <v>Jun</v>
      </c>
      <c r="C481" t="s">
        <v>60</v>
      </c>
      <c r="D481" t="s">
        <v>61</v>
      </c>
      <c r="E481">
        <v>383509077893.16998</v>
      </c>
      <c r="F481">
        <v>28900.080000000002</v>
      </c>
      <c r="G481">
        <v>3318608112.3699999</v>
      </c>
      <c r="H481">
        <v>1527557</v>
      </c>
      <c r="I481">
        <v>6290237</v>
      </c>
      <c r="J481">
        <v>7069101</v>
      </c>
      <c r="K481">
        <v>4.88</v>
      </c>
      <c r="L481">
        <v>-0.37</v>
      </c>
      <c r="M481">
        <v>-15.85</v>
      </c>
      <c r="N481">
        <v>29.94</v>
      </c>
      <c r="O481">
        <v>97</v>
      </c>
      <c r="P481" t="s">
        <v>27</v>
      </c>
      <c r="Q481" t="s">
        <v>28</v>
      </c>
      <c r="R481" t="s">
        <v>29</v>
      </c>
      <c r="S481">
        <v>2020</v>
      </c>
      <c r="T481" t="s">
        <v>30</v>
      </c>
      <c r="U481">
        <v>46764</v>
      </c>
      <c r="V481">
        <v>72.56</v>
      </c>
      <c r="W481">
        <v>29.3</v>
      </c>
      <c r="X481">
        <v>24.98</v>
      </c>
      <c r="Y481">
        <v>78.92</v>
      </c>
    </row>
    <row r="482" spans="1:25" x14ac:dyDescent="0.3">
      <c r="A482" t="s">
        <v>143</v>
      </c>
      <c r="B482" t="str">
        <f t="shared" si="7"/>
        <v>Jun</v>
      </c>
      <c r="C482" t="s">
        <v>68</v>
      </c>
      <c r="D482" t="s">
        <v>69</v>
      </c>
      <c r="E482">
        <v>820303820700.01001</v>
      </c>
      <c r="F482">
        <v>19003.95</v>
      </c>
      <c r="G482">
        <v>27207663891.220001</v>
      </c>
      <c r="H482">
        <v>18314654</v>
      </c>
      <c r="I482">
        <v>21756093</v>
      </c>
      <c r="J482">
        <v>21781338</v>
      </c>
      <c r="K482">
        <v>57.71</v>
      </c>
      <c r="L482">
        <v>3.41</v>
      </c>
      <c r="M482">
        <v>-14.04</v>
      </c>
      <c r="N482">
        <v>37.21</v>
      </c>
      <c r="O482">
        <v>40</v>
      </c>
      <c r="P482" t="s">
        <v>27</v>
      </c>
      <c r="Q482" t="s">
        <v>47</v>
      </c>
      <c r="R482" t="s">
        <v>64</v>
      </c>
      <c r="S482">
        <v>2010</v>
      </c>
      <c r="T482" t="s">
        <v>36</v>
      </c>
      <c r="U482">
        <v>63660</v>
      </c>
      <c r="V482">
        <v>35.74</v>
      </c>
      <c r="W482">
        <v>88.67</v>
      </c>
      <c r="X482">
        <v>97.58</v>
      </c>
      <c r="Y482">
        <v>28.34</v>
      </c>
    </row>
    <row r="483" spans="1:25" x14ac:dyDescent="0.3">
      <c r="A483" t="s">
        <v>334</v>
      </c>
      <c r="B483" t="str">
        <f t="shared" si="7"/>
        <v>Jul</v>
      </c>
      <c r="C483" t="s">
        <v>55</v>
      </c>
      <c r="D483" t="s">
        <v>56</v>
      </c>
      <c r="E483">
        <v>278834379718.65997</v>
      </c>
      <c r="F483">
        <v>19309.650000000001</v>
      </c>
      <c r="G483">
        <v>12253667748.120001</v>
      </c>
      <c r="H483">
        <v>4926125</v>
      </c>
      <c r="I483">
        <v>9402117</v>
      </c>
      <c r="J483">
        <v>10209417</v>
      </c>
      <c r="K483">
        <v>2.56</v>
      </c>
      <c r="L483">
        <v>2.75</v>
      </c>
      <c r="M483">
        <v>-15.91</v>
      </c>
      <c r="N483">
        <v>25.2</v>
      </c>
      <c r="O483">
        <v>88</v>
      </c>
      <c r="P483" t="s">
        <v>27</v>
      </c>
      <c r="Q483" t="s">
        <v>47</v>
      </c>
      <c r="R483" t="s">
        <v>29</v>
      </c>
      <c r="S483">
        <v>2020</v>
      </c>
      <c r="T483" t="s">
        <v>58</v>
      </c>
      <c r="U483">
        <v>63684</v>
      </c>
      <c r="V483">
        <v>85.89</v>
      </c>
      <c r="W483">
        <v>55.11</v>
      </c>
      <c r="X483">
        <v>15.57</v>
      </c>
      <c r="Y483">
        <v>71.349999999999994</v>
      </c>
    </row>
    <row r="484" spans="1:25" x14ac:dyDescent="0.3">
      <c r="A484" t="s">
        <v>82</v>
      </c>
      <c r="B484" t="str">
        <f t="shared" si="7"/>
        <v>Jun</v>
      </c>
      <c r="C484" t="s">
        <v>25</v>
      </c>
      <c r="D484" t="s">
        <v>26</v>
      </c>
      <c r="E484">
        <v>642286836996.22998</v>
      </c>
      <c r="F484">
        <v>37577.61</v>
      </c>
      <c r="G484">
        <v>16629059013.57</v>
      </c>
      <c r="H484">
        <v>11433199</v>
      </c>
      <c r="I484">
        <v>13589024</v>
      </c>
      <c r="J484">
        <v>14475176</v>
      </c>
      <c r="K484">
        <v>37.56</v>
      </c>
      <c r="L484">
        <v>-2.15</v>
      </c>
      <c r="M484">
        <v>-3.76</v>
      </c>
      <c r="N484">
        <v>-31.85</v>
      </c>
      <c r="O484">
        <v>58</v>
      </c>
      <c r="P484" t="s">
        <v>46</v>
      </c>
      <c r="Q484" t="s">
        <v>47</v>
      </c>
      <c r="R484" t="s">
        <v>29</v>
      </c>
      <c r="S484">
        <v>2021</v>
      </c>
      <c r="T484" t="s">
        <v>30</v>
      </c>
      <c r="U484">
        <v>2547</v>
      </c>
      <c r="V484">
        <v>62.16</v>
      </c>
      <c r="W484">
        <v>54.83</v>
      </c>
      <c r="X484">
        <v>17.09</v>
      </c>
      <c r="Y484">
        <v>11.05</v>
      </c>
    </row>
    <row r="485" spans="1:25" x14ac:dyDescent="0.3">
      <c r="A485" t="s">
        <v>335</v>
      </c>
      <c r="B485" t="str">
        <f t="shared" si="7"/>
        <v>Jan</v>
      </c>
      <c r="C485" t="s">
        <v>68</v>
      </c>
      <c r="D485" t="s">
        <v>69</v>
      </c>
      <c r="E485">
        <v>298423683503.23999</v>
      </c>
      <c r="F485">
        <v>61034.64</v>
      </c>
      <c r="G485">
        <v>48683240757.849998</v>
      </c>
      <c r="H485">
        <v>17223845</v>
      </c>
      <c r="I485">
        <v>19063916</v>
      </c>
      <c r="J485">
        <v>19351007</v>
      </c>
      <c r="K485">
        <v>19.440000000000001</v>
      </c>
      <c r="L485">
        <v>-0.2</v>
      </c>
      <c r="M485">
        <v>11.14</v>
      </c>
      <c r="N485">
        <v>-11.92</v>
      </c>
      <c r="O485">
        <v>68</v>
      </c>
      <c r="P485" t="s">
        <v>27</v>
      </c>
      <c r="Q485" t="s">
        <v>47</v>
      </c>
      <c r="R485" t="s">
        <v>74</v>
      </c>
      <c r="S485">
        <v>2011</v>
      </c>
      <c r="T485" t="s">
        <v>36</v>
      </c>
      <c r="U485">
        <v>59056</v>
      </c>
      <c r="V485">
        <v>99.93</v>
      </c>
      <c r="W485">
        <v>93.63</v>
      </c>
      <c r="X485">
        <v>25.44</v>
      </c>
      <c r="Y485">
        <v>31.37</v>
      </c>
    </row>
    <row r="486" spans="1:25" x14ac:dyDescent="0.3">
      <c r="A486" t="s">
        <v>54</v>
      </c>
      <c r="B486" t="str">
        <f t="shared" si="7"/>
        <v>Feb</v>
      </c>
      <c r="C486" t="s">
        <v>25</v>
      </c>
      <c r="D486" t="s">
        <v>26</v>
      </c>
      <c r="E486">
        <v>186355153608.25</v>
      </c>
      <c r="F486">
        <v>59736.88</v>
      </c>
      <c r="G486">
        <v>45095057493.75</v>
      </c>
      <c r="H486">
        <v>15989799</v>
      </c>
      <c r="I486">
        <v>20975972</v>
      </c>
      <c r="J486">
        <v>21061325</v>
      </c>
      <c r="K486">
        <v>33.86</v>
      </c>
      <c r="L486">
        <v>3.43</v>
      </c>
      <c r="M486">
        <v>-13.45</v>
      </c>
      <c r="N486">
        <v>-39.729999999999997</v>
      </c>
      <c r="O486">
        <v>143</v>
      </c>
      <c r="P486" t="s">
        <v>46</v>
      </c>
      <c r="Q486" t="s">
        <v>41</v>
      </c>
      <c r="R486" t="s">
        <v>42</v>
      </c>
      <c r="S486">
        <v>2023</v>
      </c>
      <c r="T486" t="s">
        <v>30</v>
      </c>
      <c r="U486">
        <v>34635</v>
      </c>
      <c r="V486">
        <v>57.05</v>
      </c>
      <c r="W486">
        <v>95.62</v>
      </c>
      <c r="X486">
        <v>54.14</v>
      </c>
      <c r="Y486">
        <v>55.12</v>
      </c>
    </row>
    <row r="487" spans="1:25" x14ac:dyDescent="0.3">
      <c r="A487" t="s">
        <v>66</v>
      </c>
      <c r="B487" t="str">
        <f t="shared" si="7"/>
        <v>Apr</v>
      </c>
      <c r="C487" t="s">
        <v>49</v>
      </c>
      <c r="D487" t="s">
        <v>50</v>
      </c>
      <c r="E487">
        <v>691154814775.45996</v>
      </c>
      <c r="F487">
        <v>12106.31</v>
      </c>
      <c r="G487">
        <v>30404793428.75</v>
      </c>
      <c r="H487">
        <v>17229690</v>
      </c>
      <c r="I487">
        <v>21703752</v>
      </c>
      <c r="J487">
        <v>22446115</v>
      </c>
      <c r="K487">
        <v>58.68</v>
      </c>
      <c r="L487">
        <v>4.0599999999999996</v>
      </c>
      <c r="M487">
        <v>11.14</v>
      </c>
      <c r="N487">
        <v>-29.45</v>
      </c>
      <c r="O487">
        <v>101</v>
      </c>
      <c r="P487" t="s">
        <v>27</v>
      </c>
      <c r="Q487" t="s">
        <v>47</v>
      </c>
      <c r="R487" t="s">
        <v>35</v>
      </c>
      <c r="S487">
        <v>2015</v>
      </c>
      <c r="T487" t="s">
        <v>36</v>
      </c>
      <c r="U487">
        <v>46110</v>
      </c>
      <c r="V487">
        <v>60.2</v>
      </c>
      <c r="W487">
        <v>99.37</v>
      </c>
      <c r="X487">
        <v>56.45</v>
      </c>
      <c r="Y487">
        <v>85.22</v>
      </c>
    </row>
    <row r="488" spans="1:25" x14ac:dyDescent="0.3">
      <c r="A488" t="s">
        <v>336</v>
      </c>
      <c r="B488" t="str">
        <f t="shared" si="7"/>
        <v>Oct</v>
      </c>
      <c r="C488" t="s">
        <v>55</v>
      </c>
      <c r="D488" t="s">
        <v>56</v>
      </c>
      <c r="E488">
        <v>504288000013.85999</v>
      </c>
      <c r="F488">
        <v>29665.41</v>
      </c>
      <c r="G488">
        <v>19913546582.119999</v>
      </c>
      <c r="H488">
        <v>3939048</v>
      </c>
      <c r="I488">
        <v>4782775</v>
      </c>
      <c r="J488">
        <v>4818687</v>
      </c>
      <c r="K488">
        <v>3.61</v>
      </c>
      <c r="L488">
        <v>-2.93</v>
      </c>
      <c r="M488">
        <v>-4.26</v>
      </c>
      <c r="N488">
        <v>-1.74</v>
      </c>
      <c r="O488">
        <v>196</v>
      </c>
      <c r="P488" t="s">
        <v>51</v>
      </c>
      <c r="Q488" t="s">
        <v>28</v>
      </c>
      <c r="R488" t="s">
        <v>35</v>
      </c>
      <c r="S488">
        <v>2021</v>
      </c>
      <c r="T488" t="s">
        <v>58</v>
      </c>
      <c r="U488">
        <v>42935</v>
      </c>
      <c r="V488">
        <v>40.369999999999997</v>
      </c>
      <c r="W488">
        <v>65.98</v>
      </c>
      <c r="X488">
        <v>54.56</v>
      </c>
      <c r="Y488">
        <v>92.86</v>
      </c>
    </row>
    <row r="489" spans="1:25" x14ac:dyDescent="0.3">
      <c r="A489" t="s">
        <v>337</v>
      </c>
      <c r="B489" t="str">
        <f t="shared" si="7"/>
        <v>Nov</v>
      </c>
      <c r="C489" t="s">
        <v>90</v>
      </c>
      <c r="D489" t="s">
        <v>91</v>
      </c>
      <c r="E489">
        <v>341508622592.77002</v>
      </c>
      <c r="F489">
        <v>61464.83</v>
      </c>
      <c r="G489">
        <v>9238776405.6599998</v>
      </c>
      <c r="H489">
        <v>9490448</v>
      </c>
      <c r="I489">
        <v>10487993</v>
      </c>
      <c r="J489">
        <v>10676080</v>
      </c>
      <c r="K489">
        <v>12.7</v>
      </c>
      <c r="L489">
        <v>-1.74</v>
      </c>
      <c r="M489">
        <v>-17.87</v>
      </c>
      <c r="N489">
        <v>-10.98</v>
      </c>
      <c r="O489">
        <v>177</v>
      </c>
      <c r="P489" t="s">
        <v>40</v>
      </c>
      <c r="Q489" t="s">
        <v>28</v>
      </c>
      <c r="R489" t="s">
        <v>64</v>
      </c>
      <c r="S489">
        <v>2018</v>
      </c>
      <c r="T489" t="s">
        <v>30</v>
      </c>
      <c r="U489">
        <v>22919</v>
      </c>
      <c r="V489">
        <v>73.42</v>
      </c>
      <c r="W489">
        <v>93.85</v>
      </c>
      <c r="X489">
        <v>82.07</v>
      </c>
      <c r="Y489">
        <v>96.19</v>
      </c>
    </row>
    <row r="490" spans="1:25" x14ac:dyDescent="0.3">
      <c r="A490" t="s">
        <v>338</v>
      </c>
      <c r="B490" t="str">
        <f t="shared" si="7"/>
        <v>Sep</v>
      </c>
      <c r="C490" t="s">
        <v>25</v>
      </c>
      <c r="D490" t="s">
        <v>26</v>
      </c>
      <c r="E490">
        <v>331730446546.34998</v>
      </c>
      <c r="F490">
        <v>37475.599999999999</v>
      </c>
      <c r="G490">
        <v>42803434264.480003</v>
      </c>
      <c r="H490">
        <v>9496440</v>
      </c>
      <c r="I490">
        <v>13595736</v>
      </c>
      <c r="J490">
        <v>14494426</v>
      </c>
      <c r="K490">
        <v>8.3800000000000008</v>
      </c>
      <c r="L490">
        <v>-3.94</v>
      </c>
      <c r="M490">
        <v>9.1999999999999993</v>
      </c>
      <c r="N490">
        <v>38.15</v>
      </c>
      <c r="O490">
        <v>109</v>
      </c>
      <c r="P490" t="s">
        <v>51</v>
      </c>
      <c r="Q490" t="s">
        <v>47</v>
      </c>
      <c r="R490" t="s">
        <v>64</v>
      </c>
      <c r="S490">
        <v>2014</v>
      </c>
      <c r="T490" t="s">
        <v>30</v>
      </c>
      <c r="U490">
        <v>59848</v>
      </c>
      <c r="V490">
        <v>10.1</v>
      </c>
      <c r="W490">
        <v>88.85</v>
      </c>
      <c r="X490">
        <v>60.94</v>
      </c>
      <c r="Y490">
        <v>51.2</v>
      </c>
    </row>
    <row r="491" spans="1:25" x14ac:dyDescent="0.3">
      <c r="A491" t="s">
        <v>183</v>
      </c>
      <c r="B491" t="str">
        <f t="shared" si="7"/>
        <v>Oct</v>
      </c>
      <c r="C491" t="s">
        <v>25</v>
      </c>
      <c r="D491" t="s">
        <v>26</v>
      </c>
      <c r="E491">
        <v>802815634323.27002</v>
      </c>
      <c r="F491">
        <v>50847.33</v>
      </c>
      <c r="G491">
        <v>24164272815.049999</v>
      </c>
      <c r="H491">
        <v>7083391</v>
      </c>
      <c r="I491">
        <v>7570242</v>
      </c>
      <c r="J491">
        <v>7956837</v>
      </c>
      <c r="K491">
        <v>1.88</v>
      </c>
      <c r="L491">
        <v>2.71</v>
      </c>
      <c r="M491">
        <v>-5.29</v>
      </c>
      <c r="N491">
        <v>-16.149999999999999</v>
      </c>
      <c r="O491">
        <v>96</v>
      </c>
      <c r="P491" t="s">
        <v>51</v>
      </c>
      <c r="Q491" t="s">
        <v>34</v>
      </c>
      <c r="R491" t="s">
        <v>64</v>
      </c>
      <c r="S491">
        <v>2019</v>
      </c>
      <c r="T491" t="s">
        <v>30</v>
      </c>
      <c r="U491">
        <v>3133</v>
      </c>
      <c r="V491">
        <v>48.64</v>
      </c>
      <c r="W491">
        <v>83.48</v>
      </c>
      <c r="X491">
        <v>65.17</v>
      </c>
      <c r="Y491">
        <v>63.44</v>
      </c>
    </row>
    <row r="492" spans="1:25" x14ac:dyDescent="0.3">
      <c r="A492" t="s">
        <v>95</v>
      </c>
      <c r="B492" t="str">
        <f t="shared" si="7"/>
        <v>Mar</v>
      </c>
      <c r="C492" t="s">
        <v>44</v>
      </c>
      <c r="D492" t="s">
        <v>45</v>
      </c>
      <c r="E492">
        <v>106963879490.57001</v>
      </c>
      <c r="F492">
        <v>24034.880000000001</v>
      </c>
      <c r="G492">
        <v>2083496320.45</v>
      </c>
      <c r="H492">
        <v>15371898</v>
      </c>
      <c r="I492">
        <v>15769603</v>
      </c>
      <c r="J492">
        <v>16480637</v>
      </c>
      <c r="K492">
        <v>22.06</v>
      </c>
      <c r="L492">
        <v>0.68</v>
      </c>
      <c r="M492">
        <v>-8.91</v>
      </c>
      <c r="N492">
        <v>-0.57999999999999996</v>
      </c>
      <c r="O492">
        <v>49</v>
      </c>
      <c r="P492" t="s">
        <v>46</v>
      </c>
      <c r="Q492" t="s">
        <v>57</v>
      </c>
      <c r="R492" t="s">
        <v>74</v>
      </c>
      <c r="S492">
        <v>2020</v>
      </c>
      <c r="T492" t="s">
        <v>36</v>
      </c>
      <c r="U492">
        <v>56210</v>
      </c>
      <c r="V492">
        <v>70.92</v>
      </c>
      <c r="W492">
        <v>95.01</v>
      </c>
      <c r="X492">
        <v>20.56</v>
      </c>
      <c r="Y492">
        <v>43.69</v>
      </c>
    </row>
    <row r="493" spans="1:25" x14ac:dyDescent="0.3">
      <c r="A493" t="s">
        <v>160</v>
      </c>
      <c r="B493" t="str">
        <f t="shared" si="7"/>
        <v>Aug</v>
      </c>
      <c r="C493" t="s">
        <v>25</v>
      </c>
      <c r="D493" t="s">
        <v>26</v>
      </c>
      <c r="E493">
        <v>488486146407.96997</v>
      </c>
      <c r="F493">
        <v>35209.160000000003</v>
      </c>
      <c r="G493">
        <v>31115611957.810001</v>
      </c>
      <c r="H493">
        <v>1411130</v>
      </c>
      <c r="I493">
        <v>2758589</v>
      </c>
      <c r="J493">
        <v>3273083</v>
      </c>
      <c r="K493">
        <v>2.44</v>
      </c>
      <c r="L493">
        <v>-4.79</v>
      </c>
      <c r="M493">
        <v>-5.46</v>
      </c>
      <c r="N493">
        <v>-1.1599999999999999</v>
      </c>
      <c r="O493">
        <v>35</v>
      </c>
      <c r="P493" t="s">
        <v>53</v>
      </c>
      <c r="Q493" t="s">
        <v>28</v>
      </c>
      <c r="R493" t="s">
        <v>29</v>
      </c>
      <c r="S493">
        <v>2012</v>
      </c>
      <c r="T493" t="s">
        <v>30</v>
      </c>
      <c r="U493">
        <v>10281</v>
      </c>
      <c r="V493">
        <v>63.18</v>
      </c>
      <c r="W493">
        <v>48.41</v>
      </c>
      <c r="X493">
        <v>54.54</v>
      </c>
      <c r="Y493">
        <v>28.6</v>
      </c>
    </row>
    <row r="494" spans="1:25" x14ac:dyDescent="0.3">
      <c r="A494" t="s">
        <v>164</v>
      </c>
      <c r="B494" t="str">
        <f t="shared" si="7"/>
        <v>Sep</v>
      </c>
      <c r="C494" t="s">
        <v>55</v>
      </c>
      <c r="D494" t="s">
        <v>56</v>
      </c>
      <c r="E494">
        <v>714412638602.30005</v>
      </c>
      <c r="F494">
        <v>51393.72</v>
      </c>
      <c r="G494">
        <v>1413855232.52</v>
      </c>
      <c r="H494">
        <v>12288789</v>
      </c>
      <c r="I494">
        <v>16887808</v>
      </c>
      <c r="J494">
        <v>17852195</v>
      </c>
      <c r="K494">
        <v>58.03</v>
      </c>
      <c r="L494">
        <v>-0.73</v>
      </c>
      <c r="M494">
        <v>-10.23</v>
      </c>
      <c r="N494">
        <v>-31.72</v>
      </c>
      <c r="O494">
        <v>100</v>
      </c>
      <c r="P494" t="s">
        <v>53</v>
      </c>
      <c r="Q494" t="s">
        <v>41</v>
      </c>
      <c r="R494" t="s">
        <v>35</v>
      </c>
      <c r="S494">
        <v>2010</v>
      </c>
      <c r="T494" t="s">
        <v>58</v>
      </c>
      <c r="U494">
        <v>45172</v>
      </c>
      <c r="V494">
        <v>33.46</v>
      </c>
      <c r="W494">
        <v>82.05</v>
      </c>
      <c r="X494">
        <v>39.96</v>
      </c>
      <c r="Y494">
        <v>36.53</v>
      </c>
    </row>
    <row r="495" spans="1:25" x14ac:dyDescent="0.3">
      <c r="A495" t="s">
        <v>121</v>
      </c>
      <c r="B495" t="str">
        <f t="shared" si="7"/>
        <v>Mar</v>
      </c>
      <c r="C495" t="s">
        <v>32</v>
      </c>
      <c r="D495" t="s">
        <v>33</v>
      </c>
      <c r="E495">
        <v>861432648060.60999</v>
      </c>
      <c r="F495">
        <v>48779.96</v>
      </c>
      <c r="G495">
        <v>11324848537.58</v>
      </c>
      <c r="H495">
        <v>5080088</v>
      </c>
      <c r="I495">
        <v>7306764</v>
      </c>
      <c r="J495">
        <v>7745356</v>
      </c>
      <c r="K495">
        <v>25</v>
      </c>
      <c r="L495">
        <v>4.47</v>
      </c>
      <c r="M495">
        <v>6.33</v>
      </c>
      <c r="N495">
        <v>-17.809999999999999</v>
      </c>
      <c r="O495">
        <v>151</v>
      </c>
      <c r="P495" t="s">
        <v>51</v>
      </c>
      <c r="Q495" t="s">
        <v>34</v>
      </c>
      <c r="R495" t="s">
        <v>64</v>
      </c>
      <c r="S495">
        <v>2023</v>
      </c>
      <c r="T495" t="s">
        <v>36</v>
      </c>
      <c r="U495">
        <v>51500</v>
      </c>
      <c r="V495">
        <v>79.39</v>
      </c>
      <c r="W495">
        <v>65.73</v>
      </c>
      <c r="X495">
        <v>43.47</v>
      </c>
      <c r="Y495">
        <v>82.94</v>
      </c>
    </row>
    <row r="496" spans="1:25" x14ac:dyDescent="0.3">
      <c r="A496" t="s">
        <v>336</v>
      </c>
      <c r="B496" t="str">
        <f t="shared" si="7"/>
        <v>Oct</v>
      </c>
      <c r="C496" t="s">
        <v>49</v>
      </c>
      <c r="D496" t="s">
        <v>50</v>
      </c>
      <c r="E496">
        <v>678854353387.39001</v>
      </c>
      <c r="F496">
        <v>14247.64</v>
      </c>
      <c r="G496">
        <v>9111602002.9899998</v>
      </c>
      <c r="H496">
        <v>5139382</v>
      </c>
      <c r="I496">
        <v>10060988</v>
      </c>
      <c r="J496">
        <v>10713311</v>
      </c>
      <c r="K496">
        <v>22.96</v>
      </c>
      <c r="L496">
        <v>-3.3</v>
      </c>
      <c r="M496">
        <v>14.11</v>
      </c>
      <c r="N496">
        <v>-7.97</v>
      </c>
      <c r="O496">
        <v>152</v>
      </c>
      <c r="P496" t="s">
        <v>53</v>
      </c>
      <c r="Q496" t="s">
        <v>28</v>
      </c>
      <c r="R496" t="s">
        <v>64</v>
      </c>
      <c r="S496">
        <v>2021</v>
      </c>
      <c r="T496" t="s">
        <v>36</v>
      </c>
      <c r="U496">
        <v>58227</v>
      </c>
      <c r="V496">
        <v>42.66</v>
      </c>
      <c r="W496">
        <v>56.4</v>
      </c>
      <c r="X496">
        <v>59.3</v>
      </c>
      <c r="Y496">
        <v>90.04</v>
      </c>
    </row>
    <row r="497" spans="1:25" x14ac:dyDescent="0.3">
      <c r="A497" t="s">
        <v>174</v>
      </c>
      <c r="B497" t="str">
        <f t="shared" si="7"/>
        <v>Jun</v>
      </c>
      <c r="C497" t="s">
        <v>68</v>
      </c>
      <c r="D497" t="s">
        <v>69</v>
      </c>
      <c r="E497">
        <v>660283663712</v>
      </c>
      <c r="F497">
        <v>22452.71</v>
      </c>
      <c r="G497">
        <v>12242617723.77</v>
      </c>
      <c r="H497">
        <v>7189139</v>
      </c>
      <c r="I497">
        <v>11211623</v>
      </c>
      <c r="J497">
        <v>11810182</v>
      </c>
      <c r="K497">
        <v>25.69</v>
      </c>
      <c r="L497">
        <v>-2.83</v>
      </c>
      <c r="M497">
        <v>-17.829999999999998</v>
      </c>
      <c r="N497">
        <v>-11.91</v>
      </c>
      <c r="O497">
        <v>64</v>
      </c>
      <c r="P497" t="s">
        <v>51</v>
      </c>
      <c r="Q497" t="s">
        <v>57</v>
      </c>
      <c r="R497" t="s">
        <v>29</v>
      </c>
      <c r="S497">
        <v>2020</v>
      </c>
      <c r="T497" t="s">
        <v>36</v>
      </c>
      <c r="U497">
        <v>46872</v>
      </c>
      <c r="V497">
        <v>79.78</v>
      </c>
      <c r="W497">
        <v>67.36</v>
      </c>
      <c r="X497">
        <v>24.94</v>
      </c>
      <c r="Y497">
        <v>39.799999999999997</v>
      </c>
    </row>
    <row r="498" spans="1:25" x14ac:dyDescent="0.3">
      <c r="A498" t="s">
        <v>59</v>
      </c>
      <c r="B498" t="str">
        <f t="shared" si="7"/>
        <v>Jan</v>
      </c>
      <c r="C498" t="s">
        <v>49</v>
      </c>
      <c r="D498" t="s">
        <v>50</v>
      </c>
      <c r="E498">
        <v>871613847255.78003</v>
      </c>
      <c r="F498">
        <v>58846.67</v>
      </c>
      <c r="G498">
        <v>38839586104.709999</v>
      </c>
      <c r="H498">
        <v>11576669</v>
      </c>
      <c r="I498">
        <v>13719547</v>
      </c>
      <c r="J498">
        <v>14180822</v>
      </c>
      <c r="K498">
        <v>55.25</v>
      </c>
      <c r="L498">
        <v>-1.78</v>
      </c>
      <c r="M498">
        <v>-12.2</v>
      </c>
      <c r="N498">
        <v>11.54</v>
      </c>
      <c r="O498">
        <v>130</v>
      </c>
      <c r="P498" t="s">
        <v>51</v>
      </c>
      <c r="Q498" t="s">
        <v>41</v>
      </c>
      <c r="R498" t="s">
        <v>74</v>
      </c>
      <c r="S498">
        <v>2015</v>
      </c>
      <c r="T498" t="s">
        <v>36</v>
      </c>
      <c r="U498">
        <v>42293</v>
      </c>
      <c r="V498">
        <v>90.16</v>
      </c>
      <c r="W498">
        <v>30.41</v>
      </c>
      <c r="X498">
        <v>56.06</v>
      </c>
      <c r="Y498">
        <v>33.880000000000003</v>
      </c>
    </row>
    <row r="499" spans="1:25" x14ac:dyDescent="0.3">
      <c r="A499" t="s">
        <v>85</v>
      </c>
      <c r="B499" t="str">
        <f t="shared" si="7"/>
        <v>Sep</v>
      </c>
      <c r="C499" t="s">
        <v>49</v>
      </c>
      <c r="D499" t="s">
        <v>50</v>
      </c>
      <c r="E499">
        <v>48384655383</v>
      </c>
      <c r="F499">
        <v>67265.94</v>
      </c>
      <c r="G499">
        <v>33213202745.02</v>
      </c>
      <c r="H499">
        <v>4537278</v>
      </c>
      <c r="I499">
        <v>6914825</v>
      </c>
      <c r="J499">
        <v>7393015</v>
      </c>
      <c r="K499">
        <v>14.45</v>
      </c>
      <c r="L499">
        <v>-2.15</v>
      </c>
      <c r="M499">
        <v>-15.66</v>
      </c>
      <c r="N499">
        <v>22.37</v>
      </c>
      <c r="O499">
        <v>142</v>
      </c>
      <c r="P499" t="s">
        <v>51</v>
      </c>
      <c r="Q499" t="s">
        <v>41</v>
      </c>
      <c r="R499" t="s">
        <v>42</v>
      </c>
      <c r="S499">
        <v>2019</v>
      </c>
      <c r="T499" t="s">
        <v>36</v>
      </c>
      <c r="U499">
        <v>61835</v>
      </c>
      <c r="V499">
        <v>73.19</v>
      </c>
      <c r="W499">
        <v>72.989999999999995</v>
      </c>
      <c r="X499">
        <v>70.95</v>
      </c>
      <c r="Y499">
        <v>40.54</v>
      </c>
    </row>
    <row r="500" spans="1:25" x14ac:dyDescent="0.3">
      <c r="A500" t="s">
        <v>339</v>
      </c>
      <c r="B500" t="str">
        <f t="shared" si="7"/>
        <v>Apr</v>
      </c>
      <c r="C500" t="s">
        <v>68</v>
      </c>
      <c r="D500" t="s">
        <v>69</v>
      </c>
      <c r="E500">
        <v>222362598126.13</v>
      </c>
      <c r="F500">
        <v>22394.18</v>
      </c>
      <c r="G500">
        <v>35360777499.459999</v>
      </c>
      <c r="H500">
        <v>5045818</v>
      </c>
      <c r="I500">
        <v>9495324</v>
      </c>
      <c r="J500">
        <v>10421631</v>
      </c>
      <c r="K500">
        <v>33.57</v>
      </c>
      <c r="L500">
        <v>-4.54</v>
      </c>
      <c r="M500">
        <v>9.44</v>
      </c>
      <c r="N500">
        <v>-21.92</v>
      </c>
      <c r="O500">
        <v>44</v>
      </c>
      <c r="P500" t="s">
        <v>46</v>
      </c>
      <c r="Q500" t="s">
        <v>57</v>
      </c>
      <c r="R500" t="s">
        <v>29</v>
      </c>
      <c r="S500">
        <v>2015</v>
      </c>
      <c r="T500" t="s">
        <v>36</v>
      </c>
      <c r="U500">
        <v>45071</v>
      </c>
      <c r="V500">
        <v>98.71</v>
      </c>
      <c r="W500">
        <v>38.18</v>
      </c>
      <c r="X500">
        <v>38.01</v>
      </c>
      <c r="Y500">
        <v>68.48</v>
      </c>
    </row>
    <row r="501" spans="1:25" x14ac:dyDescent="0.3">
      <c r="A501" t="s">
        <v>146</v>
      </c>
      <c r="B501" t="str">
        <f t="shared" si="7"/>
        <v>Jun</v>
      </c>
      <c r="C501" t="s">
        <v>90</v>
      </c>
      <c r="D501" t="s">
        <v>91</v>
      </c>
      <c r="E501">
        <v>665671875955.79004</v>
      </c>
      <c r="F501">
        <v>2863.73</v>
      </c>
      <c r="G501">
        <v>8465854087.7399998</v>
      </c>
      <c r="H501">
        <v>7795103</v>
      </c>
      <c r="I501">
        <v>12410520</v>
      </c>
      <c r="J501">
        <v>12703951</v>
      </c>
      <c r="K501">
        <v>4.83</v>
      </c>
      <c r="L501">
        <v>-4.8099999999999996</v>
      </c>
      <c r="M501">
        <v>-16.329999999999998</v>
      </c>
      <c r="N501">
        <v>2.5099999999999998</v>
      </c>
      <c r="O501">
        <v>163</v>
      </c>
      <c r="P501" t="s">
        <v>46</v>
      </c>
      <c r="Q501" t="s">
        <v>47</v>
      </c>
      <c r="R501" t="s">
        <v>74</v>
      </c>
      <c r="S501">
        <v>2021</v>
      </c>
      <c r="T501" t="s">
        <v>30</v>
      </c>
      <c r="U501">
        <v>53508</v>
      </c>
      <c r="V501">
        <v>30.52</v>
      </c>
      <c r="W501">
        <v>79.739999999999995</v>
      </c>
      <c r="X501">
        <v>44.57</v>
      </c>
      <c r="Y501">
        <v>25.71</v>
      </c>
    </row>
    <row r="502" spans="1:25" x14ac:dyDescent="0.3">
      <c r="A502" t="s">
        <v>266</v>
      </c>
      <c r="B502" t="str">
        <f t="shared" si="7"/>
        <v>Jul</v>
      </c>
      <c r="C502" t="s">
        <v>44</v>
      </c>
      <c r="D502" t="s">
        <v>45</v>
      </c>
      <c r="E502">
        <v>147384650726.04999</v>
      </c>
      <c r="F502">
        <v>40387.550000000003</v>
      </c>
      <c r="G502">
        <v>27705353162.669998</v>
      </c>
      <c r="H502">
        <v>10616296</v>
      </c>
      <c r="I502">
        <v>14676085</v>
      </c>
      <c r="J502">
        <v>15078813</v>
      </c>
      <c r="K502">
        <v>39.049999999999997</v>
      </c>
      <c r="L502">
        <v>2.83</v>
      </c>
      <c r="M502">
        <v>-13.84</v>
      </c>
      <c r="N502">
        <v>-0.83</v>
      </c>
      <c r="O502">
        <v>12</v>
      </c>
      <c r="P502" t="s">
        <v>27</v>
      </c>
      <c r="Q502" t="s">
        <v>57</v>
      </c>
      <c r="R502" t="s">
        <v>42</v>
      </c>
      <c r="S502">
        <v>2013</v>
      </c>
      <c r="T502" t="s">
        <v>36</v>
      </c>
      <c r="U502">
        <v>41530</v>
      </c>
      <c r="V502">
        <v>75.400000000000006</v>
      </c>
      <c r="W502">
        <v>27.95</v>
      </c>
      <c r="X502">
        <v>76.760000000000005</v>
      </c>
      <c r="Y502">
        <v>32.68</v>
      </c>
    </row>
    <row r="503" spans="1:25" x14ac:dyDescent="0.3">
      <c r="A503" t="s">
        <v>153</v>
      </c>
      <c r="B503" t="str">
        <f t="shared" si="7"/>
        <v>Jan</v>
      </c>
      <c r="C503" t="s">
        <v>49</v>
      </c>
      <c r="D503" t="s">
        <v>50</v>
      </c>
      <c r="E503">
        <v>741828916151.59998</v>
      </c>
      <c r="F503">
        <v>57485.78</v>
      </c>
      <c r="G503">
        <v>9191334413.0400009</v>
      </c>
      <c r="H503">
        <v>11326330</v>
      </c>
      <c r="I503">
        <v>16289559</v>
      </c>
      <c r="J503">
        <v>17094990</v>
      </c>
      <c r="K503">
        <v>31.38</v>
      </c>
      <c r="L503">
        <v>2.82</v>
      </c>
      <c r="M503">
        <v>-18.95</v>
      </c>
      <c r="N503">
        <v>33</v>
      </c>
      <c r="O503">
        <v>179</v>
      </c>
      <c r="P503" t="s">
        <v>27</v>
      </c>
      <c r="Q503" t="s">
        <v>34</v>
      </c>
      <c r="R503" t="s">
        <v>74</v>
      </c>
      <c r="S503">
        <v>2014</v>
      </c>
      <c r="T503" t="s">
        <v>36</v>
      </c>
      <c r="U503">
        <v>5394</v>
      </c>
      <c r="V503">
        <v>37.43</v>
      </c>
      <c r="W503">
        <v>44.86</v>
      </c>
      <c r="X503">
        <v>41.13</v>
      </c>
      <c r="Y503">
        <v>24.2</v>
      </c>
    </row>
    <row r="504" spans="1:25" x14ac:dyDescent="0.3">
      <c r="A504" t="s">
        <v>156</v>
      </c>
      <c r="B504" t="str">
        <f t="shared" si="7"/>
        <v>Feb</v>
      </c>
      <c r="C504" t="s">
        <v>55</v>
      </c>
      <c r="D504" t="s">
        <v>56</v>
      </c>
      <c r="E504">
        <v>591121035214.42004</v>
      </c>
      <c r="F504">
        <v>30678.89</v>
      </c>
      <c r="G504">
        <v>32138196724.099998</v>
      </c>
      <c r="H504">
        <v>14420974</v>
      </c>
      <c r="I504">
        <v>15835898</v>
      </c>
      <c r="J504">
        <v>15862955</v>
      </c>
      <c r="K504">
        <v>44.28</v>
      </c>
      <c r="L504">
        <v>-4.47</v>
      </c>
      <c r="M504">
        <v>-8.64</v>
      </c>
      <c r="N504">
        <v>36.25</v>
      </c>
      <c r="O504">
        <v>145</v>
      </c>
      <c r="P504" t="s">
        <v>51</v>
      </c>
      <c r="Q504" t="s">
        <v>47</v>
      </c>
      <c r="R504" t="s">
        <v>35</v>
      </c>
      <c r="S504">
        <v>2013</v>
      </c>
      <c r="T504" t="s">
        <v>58</v>
      </c>
      <c r="U504">
        <v>50035</v>
      </c>
      <c r="V504">
        <v>22.17</v>
      </c>
      <c r="W504">
        <v>36.200000000000003</v>
      </c>
      <c r="X504">
        <v>48.63</v>
      </c>
      <c r="Y504">
        <v>62.27</v>
      </c>
    </row>
    <row r="505" spans="1:25" x14ac:dyDescent="0.3">
      <c r="A505" t="s">
        <v>338</v>
      </c>
      <c r="B505" t="str">
        <f t="shared" si="7"/>
        <v>Sep</v>
      </c>
      <c r="C505" t="s">
        <v>68</v>
      </c>
      <c r="D505" t="s">
        <v>69</v>
      </c>
      <c r="E505">
        <v>649832121926.40002</v>
      </c>
      <c r="F505">
        <v>12224.72</v>
      </c>
      <c r="G505">
        <v>4773624565.1099997</v>
      </c>
      <c r="H505">
        <v>14899239</v>
      </c>
      <c r="I505">
        <v>17608179</v>
      </c>
      <c r="J505">
        <v>17807947</v>
      </c>
      <c r="K505">
        <v>19.79</v>
      </c>
      <c r="L505">
        <v>3.11</v>
      </c>
      <c r="M505">
        <v>-4.87</v>
      </c>
      <c r="N505">
        <v>14.33</v>
      </c>
      <c r="O505">
        <v>119</v>
      </c>
      <c r="P505" t="s">
        <v>46</v>
      </c>
      <c r="Q505" t="s">
        <v>34</v>
      </c>
      <c r="R505" t="s">
        <v>42</v>
      </c>
      <c r="S505">
        <v>2010</v>
      </c>
      <c r="T505" t="s">
        <v>36</v>
      </c>
      <c r="U505">
        <v>8663</v>
      </c>
      <c r="V505">
        <v>23.79</v>
      </c>
      <c r="W505">
        <v>47.6</v>
      </c>
      <c r="X505">
        <v>33.840000000000003</v>
      </c>
      <c r="Y505">
        <v>73.83</v>
      </c>
    </row>
    <row r="506" spans="1:25" x14ac:dyDescent="0.3">
      <c r="A506" t="s">
        <v>340</v>
      </c>
      <c r="B506" t="str">
        <f t="shared" si="7"/>
        <v>Apr</v>
      </c>
      <c r="C506" t="s">
        <v>68</v>
      </c>
      <c r="D506" t="s">
        <v>69</v>
      </c>
      <c r="E506">
        <v>752562295045.75</v>
      </c>
      <c r="F506">
        <v>12499.38</v>
      </c>
      <c r="G506">
        <v>39939573448.410004</v>
      </c>
      <c r="H506">
        <v>17879622</v>
      </c>
      <c r="I506">
        <v>18696871</v>
      </c>
      <c r="J506">
        <v>18785623</v>
      </c>
      <c r="K506">
        <v>41.33</v>
      </c>
      <c r="L506">
        <v>-3.89</v>
      </c>
      <c r="M506">
        <v>-19.18</v>
      </c>
      <c r="N506">
        <v>-26</v>
      </c>
      <c r="O506">
        <v>10</v>
      </c>
      <c r="P506" t="s">
        <v>27</v>
      </c>
      <c r="Q506" t="s">
        <v>34</v>
      </c>
      <c r="R506" t="s">
        <v>35</v>
      </c>
      <c r="S506">
        <v>2023</v>
      </c>
      <c r="T506" t="s">
        <v>36</v>
      </c>
      <c r="U506">
        <v>32107</v>
      </c>
      <c r="V506">
        <v>20.67</v>
      </c>
      <c r="W506">
        <v>39.729999999999997</v>
      </c>
      <c r="X506">
        <v>71.819999999999993</v>
      </c>
      <c r="Y506">
        <v>93.2</v>
      </c>
    </row>
    <row r="507" spans="1:25" x14ac:dyDescent="0.3">
      <c r="A507" t="s">
        <v>341</v>
      </c>
      <c r="B507" t="str">
        <f t="shared" si="7"/>
        <v>Aug</v>
      </c>
      <c r="C507" t="s">
        <v>78</v>
      </c>
      <c r="D507" t="s">
        <v>79</v>
      </c>
      <c r="E507">
        <v>343977056811.13</v>
      </c>
      <c r="F507">
        <v>27992.94</v>
      </c>
      <c r="G507">
        <v>46016769192.279999</v>
      </c>
      <c r="H507">
        <v>10292323</v>
      </c>
      <c r="I507">
        <v>12741009</v>
      </c>
      <c r="J507">
        <v>13704429</v>
      </c>
      <c r="K507">
        <v>22.12</v>
      </c>
      <c r="L507">
        <v>3.36</v>
      </c>
      <c r="M507">
        <v>-3.07</v>
      </c>
      <c r="N507">
        <v>33.979999999999997</v>
      </c>
      <c r="O507">
        <v>48</v>
      </c>
      <c r="P507" t="s">
        <v>51</v>
      </c>
      <c r="Q507" t="s">
        <v>57</v>
      </c>
      <c r="R507" t="s">
        <v>74</v>
      </c>
      <c r="S507">
        <v>2018</v>
      </c>
      <c r="T507" t="s">
        <v>36</v>
      </c>
      <c r="U507">
        <v>20867</v>
      </c>
      <c r="V507">
        <v>32.380000000000003</v>
      </c>
      <c r="W507">
        <v>99.97</v>
      </c>
      <c r="X507">
        <v>30.55</v>
      </c>
      <c r="Y507">
        <v>31.45</v>
      </c>
    </row>
    <row r="508" spans="1:25" x14ac:dyDescent="0.3">
      <c r="A508" t="s">
        <v>336</v>
      </c>
      <c r="B508" t="str">
        <f t="shared" si="7"/>
        <v>Oct</v>
      </c>
      <c r="C508" t="s">
        <v>55</v>
      </c>
      <c r="D508" t="s">
        <v>56</v>
      </c>
      <c r="E508">
        <v>360403564038.15997</v>
      </c>
      <c r="F508">
        <v>24001.9</v>
      </c>
      <c r="G508">
        <v>3454524306.6300001</v>
      </c>
      <c r="H508">
        <v>18306604</v>
      </c>
      <c r="I508">
        <v>20421069</v>
      </c>
      <c r="J508">
        <v>21140020</v>
      </c>
      <c r="K508">
        <v>39.14</v>
      </c>
      <c r="L508">
        <v>4.22</v>
      </c>
      <c r="M508">
        <v>-9.67</v>
      </c>
      <c r="N508">
        <v>-12.15</v>
      </c>
      <c r="O508">
        <v>41</v>
      </c>
      <c r="P508" t="s">
        <v>27</v>
      </c>
      <c r="Q508" t="s">
        <v>28</v>
      </c>
      <c r="R508" t="s">
        <v>35</v>
      </c>
      <c r="S508">
        <v>2010</v>
      </c>
      <c r="T508" t="s">
        <v>58</v>
      </c>
      <c r="U508">
        <v>38764</v>
      </c>
      <c r="V508">
        <v>66.900000000000006</v>
      </c>
      <c r="W508">
        <v>89.69</v>
      </c>
      <c r="X508">
        <v>38.06</v>
      </c>
      <c r="Y508">
        <v>51.93</v>
      </c>
    </row>
    <row r="509" spans="1:25" x14ac:dyDescent="0.3">
      <c r="A509" t="s">
        <v>342</v>
      </c>
      <c r="B509" t="str">
        <f t="shared" si="7"/>
        <v>Dec</v>
      </c>
      <c r="C509" t="s">
        <v>68</v>
      </c>
      <c r="D509" t="s">
        <v>69</v>
      </c>
      <c r="E509">
        <v>723463582209.15002</v>
      </c>
      <c r="F509">
        <v>1176.79</v>
      </c>
      <c r="G509">
        <v>25910294093.360001</v>
      </c>
      <c r="H509">
        <v>9488008</v>
      </c>
      <c r="I509">
        <v>10972808</v>
      </c>
      <c r="J509">
        <v>11437225</v>
      </c>
      <c r="K509">
        <v>23.26</v>
      </c>
      <c r="L509">
        <v>-3.42</v>
      </c>
      <c r="M509">
        <v>-17.309999999999999</v>
      </c>
      <c r="N509">
        <v>31.56</v>
      </c>
      <c r="O509">
        <v>177</v>
      </c>
      <c r="P509" t="s">
        <v>51</v>
      </c>
      <c r="Q509" t="s">
        <v>34</v>
      </c>
      <c r="R509" t="s">
        <v>29</v>
      </c>
      <c r="S509">
        <v>2017</v>
      </c>
      <c r="T509" t="s">
        <v>36</v>
      </c>
      <c r="U509">
        <v>48683</v>
      </c>
      <c r="V509">
        <v>54.8</v>
      </c>
      <c r="W509">
        <v>59.5</v>
      </c>
      <c r="X509">
        <v>48.4</v>
      </c>
      <c r="Y509">
        <v>41.2</v>
      </c>
    </row>
    <row r="510" spans="1:25" x14ac:dyDescent="0.3">
      <c r="A510" t="s">
        <v>291</v>
      </c>
      <c r="B510" t="str">
        <f t="shared" si="7"/>
        <v>Nov</v>
      </c>
      <c r="C510" t="s">
        <v>49</v>
      </c>
      <c r="D510" t="s">
        <v>50</v>
      </c>
      <c r="E510">
        <v>742558519054.05005</v>
      </c>
      <c r="F510">
        <v>31366.66</v>
      </c>
      <c r="G510">
        <v>3083246412.1999998</v>
      </c>
      <c r="H510">
        <v>15746405</v>
      </c>
      <c r="I510">
        <v>16217278</v>
      </c>
      <c r="J510">
        <v>16546148</v>
      </c>
      <c r="K510">
        <v>30.52</v>
      </c>
      <c r="L510">
        <v>-4.96</v>
      </c>
      <c r="M510">
        <v>7.59</v>
      </c>
      <c r="N510">
        <v>-28.81</v>
      </c>
      <c r="O510">
        <v>23</v>
      </c>
      <c r="P510" t="s">
        <v>27</v>
      </c>
      <c r="Q510" t="s">
        <v>34</v>
      </c>
      <c r="R510" t="s">
        <v>42</v>
      </c>
      <c r="S510">
        <v>2020</v>
      </c>
      <c r="T510" t="s">
        <v>36</v>
      </c>
      <c r="U510">
        <v>24832</v>
      </c>
      <c r="V510">
        <v>39.89</v>
      </c>
      <c r="W510">
        <v>54.05</v>
      </c>
      <c r="X510">
        <v>18.46</v>
      </c>
      <c r="Y510">
        <v>80.05</v>
      </c>
    </row>
    <row r="511" spans="1:25" x14ac:dyDescent="0.3">
      <c r="A511" t="s">
        <v>206</v>
      </c>
      <c r="B511" t="str">
        <f t="shared" si="7"/>
        <v>Jul</v>
      </c>
      <c r="C511" t="s">
        <v>49</v>
      </c>
      <c r="D511" t="s">
        <v>50</v>
      </c>
      <c r="E511">
        <v>12925413342.549999</v>
      </c>
      <c r="F511">
        <v>44465.71</v>
      </c>
      <c r="G511">
        <v>12479773258.73</v>
      </c>
      <c r="H511">
        <v>14155579</v>
      </c>
      <c r="I511">
        <v>18172092</v>
      </c>
      <c r="J511">
        <v>19142638</v>
      </c>
      <c r="K511">
        <v>56.99</v>
      </c>
      <c r="L511">
        <v>-3.2</v>
      </c>
      <c r="M511">
        <v>-14.5</v>
      </c>
      <c r="N511">
        <v>-27.16</v>
      </c>
      <c r="O511">
        <v>59</v>
      </c>
      <c r="P511" t="s">
        <v>40</v>
      </c>
      <c r="Q511" t="s">
        <v>57</v>
      </c>
      <c r="R511" t="s">
        <v>35</v>
      </c>
      <c r="S511">
        <v>2014</v>
      </c>
      <c r="T511" t="s">
        <v>36</v>
      </c>
      <c r="U511">
        <v>41568</v>
      </c>
      <c r="V511">
        <v>44.82</v>
      </c>
      <c r="W511">
        <v>20.28</v>
      </c>
      <c r="X511">
        <v>59.68</v>
      </c>
      <c r="Y511">
        <v>64.790000000000006</v>
      </c>
    </row>
    <row r="512" spans="1:25" x14ac:dyDescent="0.3">
      <c r="A512" t="s">
        <v>239</v>
      </c>
      <c r="B512" t="str">
        <f t="shared" si="7"/>
        <v>Jul</v>
      </c>
      <c r="C512" t="s">
        <v>68</v>
      </c>
      <c r="D512" t="s">
        <v>69</v>
      </c>
      <c r="E512">
        <v>112133611708.42999</v>
      </c>
      <c r="F512">
        <v>45437.91</v>
      </c>
      <c r="G512">
        <v>30648712660.619999</v>
      </c>
      <c r="H512">
        <v>4275677</v>
      </c>
      <c r="I512">
        <v>4678537</v>
      </c>
      <c r="J512">
        <v>5015806</v>
      </c>
      <c r="K512">
        <v>50.86</v>
      </c>
      <c r="L512">
        <v>0</v>
      </c>
      <c r="M512">
        <v>-18.170000000000002</v>
      </c>
      <c r="N512">
        <v>-37.17</v>
      </c>
      <c r="O512">
        <v>37</v>
      </c>
      <c r="P512" t="s">
        <v>53</v>
      </c>
      <c r="Q512" t="s">
        <v>28</v>
      </c>
      <c r="R512" t="s">
        <v>35</v>
      </c>
      <c r="S512">
        <v>2018</v>
      </c>
      <c r="T512" t="s">
        <v>36</v>
      </c>
      <c r="U512">
        <v>6363</v>
      </c>
      <c r="V512">
        <v>87.3</v>
      </c>
      <c r="W512">
        <v>65.239999999999995</v>
      </c>
      <c r="X512">
        <v>55.65</v>
      </c>
      <c r="Y512">
        <v>46.5</v>
      </c>
    </row>
    <row r="513" spans="1:25" x14ac:dyDescent="0.3">
      <c r="A513" t="s">
        <v>80</v>
      </c>
      <c r="B513" t="str">
        <f t="shared" si="7"/>
        <v>Oct</v>
      </c>
      <c r="C513" t="s">
        <v>90</v>
      </c>
      <c r="D513" t="s">
        <v>91</v>
      </c>
      <c r="E513">
        <v>593688330434.59998</v>
      </c>
      <c r="F513">
        <v>50823.839999999997</v>
      </c>
      <c r="G513">
        <v>14312294794.6</v>
      </c>
      <c r="H513">
        <v>3384795</v>
      </c>
      <c r="I513">
        <v>7999180</v>
      </c>
      <c r="J513">
        <v>8003148</v>
      </c>
      <c r="K513">
        <v>27.04</v>
      </c>
      <c r="L513">
        <v>-3.81</v>
      </c>
      <c r="M513">
        <v>-19.850000000000001</v>
      </c>
      <c r="N513">
        <v>-5.13</v>
      </c>
      <c r="O513">
        <v>70</v>
      </c>
      <c r="P513" t="s">
        <v>27</v>
      </c>
      <c r="Q513" t="s">
        <v>28</v>
      </c>
      <c r="R513" t="s">
        <v>42</v>
      </c>
      <c r="S513">
        <v>2022</v>
      </c>
      <c r="T513" t="s">
        <v>30</v>
      </c>
      <c r="U513">
        <v>7046</v>
      </c>
      <c r="V513">
        <v>60.97</v>
      </c>
      <c r="W513">
        <v>82.05</v>
      </c>
      <c r="X513">
        <v>74.150000000000006</v>
      </c>
      <c r="Y513">
        <v>36.39</v>
      </c>
    </row>
    <row r="514" spans="1:25" x14ac:dyDescent="0.3">
      <c r="A514" t="s">
        <v>259</v>
      </c>
      <c r="B514" t="str">
        <f t="shared" ref="B514:B577" si="8">TEXT(A514,"MMM")</f>
        <v>Jul</v>
      </c>
      <c r="C514" t="s">
        <v>90</v>
      </c>
      <c r="D514" t="s">
        <v>91</v>
      </c>
      <c r="E514">
        <v>643652182804.92004</v>
      </c>
      <c r="F514">
        <v>66223.31</v>
      </c>
      <c r="G514">
        <v>6430714906.6700001</v>
      </c>
      <c r="H514">
        <v>15845175</v>
      </c>
      <c r="I514">
        <v>17938735</v>
      </c>
      <c r="J514">
        <v>18937326</v>
      </c>
      <c r="K514">
        <v>42.34</v>
      </c>
      <c r="L514">
        <v>0.86</v>
      </c>
      <c r="M514">
        <v>-17.260000000000002</v>
      </c>
      <c r="N514">
        <v>-3.63</v>
      </c>
      <c r="O514">
        <v>129</v>
      </c>
      <c r="P514" t="s">
        <v>27</v>
      </c>
      <c r="Q514" t="s">
        <v>57</v>
      </c>
      <c r="R514" t="s">
        <v>42</v>
      </c>
      <c r="S514">
        <v>2018</v>
      </c>
      <c r="T514" t="s">
        <v>30</v>
      </c>
      <c r="U514">
        <v>44730</v>
      </c>
      <c r="V514">
        <v>86.51</v>
      </c>
      <c r="W514">
        <v>62.9</v>
      </c>
      <c r="X514">
        <v>40.67</v>
      </c>
      <c r="Y514">
        <v>46.28</v>
      </c>
    </row>
    <row r="515" spans="1:25" x14ac:dyDescent="0.3">
      <c r="A515" t="s">
        <v>118</v>
      </c>
      <c r="B515" t="str">
        <f t="shared" si="8"/>
        <v>Nov</v>
      </c>
      <c r="C515" t="s">
        <v>55</v>
      </c>
      <c r="D515" t="s">
        <v>56</v>
      </c>
      <c r="E515">
        <v>132049922997.19</v>
      </c>
      <c r="F515">
        <v>32358.91</v>
      </c>
      <c r="G515">
        <v>44789990118.32</v>
      </c>
      <c r="H515">
        <v>15135003</v>
      </c>
      <c r="I515">
        <v>19523567</v>
      </c>
      <c r="J515">
        <v>20222161</v>
      </c>
      <c r="K515">
        <v>40.450000000000003</v>
      </c>
      <c r="L515">
        <v>-2.11</v>
      </c>
      <c r="M515">
        <v>-6.14</v>
      </c>
      <c r="N515">
        <v>-34.35</v>
      </c>
      <c r="O515">
        <v>107</v>
      </c>
      <c r="P515" t="s">
        <v>40</v>
      </c>
      <c r="Q515" t="s">
        <v>34</v>
      </c>
      <c r="R515" t="s">
        <v>64</v>
      </c>
      <c r="S515">
        <v>2020</v>
      </c>
      <c r="T515" t="s">
        <v>58</v>
      </c>
      <c r="U515">
        <v>37971</v>
      </c>
      <c r="V515">
        <v>74.540000000000006</v>
      </c>
      <c r="W515">
        <v>45.33</v>
      </c>
      <c r="X515">
        <v>78.67</v>
      </c>
      <c r="Y515">
        <v>93.46</v>
      </c>
    </row>
    <row r="516" spans="1:25" x14ac:dyDescent="0.3">
      <c r="A516" t="s">
        <v>343</v>
      </c>
      <c r="B516" t="str">
        <f t="shared" si="8"/>
        <v>Feb</v>
      </c>
      <c r="C516" t="s">
        <v>68</v>
      </c>
      <c r="D516" t="s">
        <v>69</v>
      </c>
      <c r="E516">
        <v>453500239925.96002</v>
      </c>
      <c r="F516">
        <v>27127.119999999999</v>
      </c>
      <c r="G516">
        <v>39740995985.589996</v>
      </c>
      <c r="H516">
        <v>3058245</v>
      </c>
      <c r="I516">
        <v>7055066</v>
      </c>
      <c r="J516">
        <v>7772643</v>
      </c>
      <c r="K516">
        <v>46.3</v>
      </c>
      <c r="L516">
        <v>0.96</v>
      </c>
      <c r="M516">
        <v>-7.94</v>
      </c>
      <c r="N516">
        <v>36.58</v>
      </c>
      <c r="O516">
        <v>174</v>
      </c>
      <c r="P516" t="s">
        <v>46</v>
      </c>
      <c r="Q516" t="s">
        <v>47</v>
      </c>
      <c r="R516" t="s">
        <v>29</v>
      </c>
      <c r="S516">
        <v>2019</v>
      </c>
      <c r="T516" t="s">
        <v>36</v>
      </c>
      <c r="U516">
        <v>10025</v>
      </c>
      <c r="V516">
        <v>21.38</v>
      </c>
      <c r="W516">
        <v>59.85</v>
      </c>
      <c r="X516">
        <v>69.87</v>
      </c>
      <c r="Y516">
        <v>56.92</v>
      </c>
    </row>
    <row r="517" spans="1:25" x14ac:dyDescent="0.3">
      <c r="A517" t="s">
        <v>88</v>
      </c>
      <c r="B517" t="str">
        <f t="shared" si="8"/>
        <v>Mar</v>
      </c>
      <c r="C517" t="s">
        <v>90</v>
      </c>
      <c r="D517" t="s">
        <v>91</v>
      </c>
      <c r="E517">
        <v>329494108386.46002</v>
      </c>
      <c r="F517">
        <v>52183.88</v>
      </c>
      <c r="G517">
        <v>20252047235.450001</v>
      </c>
      <c r="H517">
        <v>11829983</v>
      </c>
      <c r="I517">
        <v>14589946</v>
      </c>
      <c r="J517">
        <v>15248140</v>
      </c>
      <c r="K517">
        <v>19.98</v>
      </c>
      <c r="L517">
        <v>-3.47</v>
      </c>
      <c r="M517">
        <v>7</v>
      </c>
      <c r="N517">
        <v>12.55</v>
      </c>
      <c r="O517">
        <v>174</v>
      </c>
      <c r="P517" t="s">
        <v>46</v>
      </c>
      <c r="Q517" t="s">
        <v>57</v>
      </c>
      <c r="R517" t="s">
        <v>35</v>
      </c>
      <c r="S517">
        <v>2018</v>
      </c>
      <c r="T517" t="s">
        <v>30</v>
      </c>
      <c r="U517">
        <v>1815</v>
      </c>
      <c r="V517">
        <v>14.15</v>
      </c>
      <c r="W517">
        <v>72.58</v>
      </c>
      <c r="X517">
        <v>55.9</v>
      </c>
      <c r="Y517">
        <v>61.36</v>
      </c>
    </row>
    <row r="518" spans="1:25" x14ac:dyDescent="0.3">
      <c r="A518" t="s">
        <v>344</v>
      </c>
      <c r="B518" t="str">
        <f t="shared" si="8"/>
        <v>Dec</v>
      </c>
      <c r="C518" t="s">
        <v>55</v>
      </c>
      <c r="D518" t="s">
        <v>56</v>
      </c>
      <c r="E518">
        <v>343119892429.64001</v>
      </c>
      <c r="F518">
        <v>42287.839999999997</v>
      </c>
      <c r="G518">
        <v>38883614880.529999</v>
      </c>
      <c r="H518">
        <v>1582702</v>
      </c>
      <c r="I518">
        <v>6310125</v>
      </c>
      <c r="J518">
        <v>6973331</v>
      </c>
      <c r="K518">
        <v>8.61</v>
      </c>
      <c r="L518">
        <v>-3.48</v>
      </c>
      <c r="M518">
        <v>13.81</v>
      </c>
      <c r="N518">
        <v>33.57</v>
      </c>
      <c r="O518">
        <v>95</v>
      </c>
      <c r="P518" t="s">
        <v>53</v>
      </c>
      <c r="Q518" t="s">
        <v>57</v>
      </c>
      <c r="R518" t="s">
        <v>74</v>
      </c>
      <c r="S518">
        <v>2012</v>
      </c>
      <c r="T518" t="s">
        <v>58</v>
      </c>
      <c r="U518">
        <v>2410</v>
      </c>
      <c r="V518">
        <v>75.44</v>
      </c>
      <c r="W518">
        <v>65.36</v>
      </c>
      <c r="X518">
        <v>71.27</v>
      </c>
      <c r="Y518">
        <v>53.43</v>
      </c>
    </row>
    <row r="519" spans="1:25" x14ac:dyDescent="0.3">
      <c r="A519" t="s">
        <v>345</v>
      </c>
      <c r="B519" t="str">
        <f t="shared" si="8"/>
        <v>Mar</v>
      </c>
      <c r="C519" t="s">
        <v>78</v>
      </c>
      <c r="D519" t="s">
        <v>79</v>
      </c>
      <c r="E519">
        <v>125643682504.35001</v>
      </c>
      <c r="F519">
        <v>26111.37</v>
      </c>
      <c r="G519">
        <v>43601573277.82</v>
      </c>
      <c r="H519">
        <v>12655011</v>
      </c>
      <c r="I519">
        <v>13390688</v>
      </c>
      <c r="J519">
        <v>14299243</v>
      </c>
      <c r="K519">
        <v>20.77</v>
      </c>
      <c r="L519">
        <v>2.58</v>
      </c>
      <c r="M519">
        <v>6.59</v>
      </c>
      <c r="N519">
        <v>-34.89</v>
      </c>
      <c r="O519">
        <v>7</v>
      </c>
      <c r="P519" t="s">
        <v>53</v>
      </c>
      <c r="Q519" t="s">
        <v>47</v>
      </c>
      <c r="R519" t="s">
        <v>42</v>
      </c>
      <c r="S519">
        <v>2019</v>
      </c>
      <c r="T519" t="s">
        <v>36</v>
      </c>
      <c r="U519">
        <v>46892</v>
      </c>
      <c r="V519">
        <v>79.06</v>
      </c>
      <c r="W519">
        <v>77.72</v>
      </c>
      <c r="X519">
        <v>66.11</v>
      </c>
      <c r="Y519">
        <v>11.78</v>
      </c>
    </row>
    <row r="520" spans="1:25" x14ac:dyDescent="0.3">
      <c r="A520" t="s">
        <v>322</v>
      </c>
      <c r="B520" t="str">
        <f t="shared" si="8"/>
        <v>Mar</v>
      </c>
      <c r="C520" t="s">
        <v>49</v>
      </c>
      <c r="D520" t="s">
        <v>50</v>
      </c>
      <c r="E520">
        <v>293141117953.92999</v>
      </c>
      <c r="F520">
        <v>50408.37</v>
      </c>
      <c r="G520">
        <v>29433838718.970001</v>
      </c>
      <c r="H520">
        <v>17712922</v>
      </c>
      <c r="I520">
        <v>17864684</v>
      </c>
      <c r="J520">
        <v>18813181</v>
      </c>
      <c r="K520">
        <v>30.97</v>
      </c>
      <c r="L520">
        <v>2.93</v>
      </c>
      <c r="M520">
        <v>1.86</v>
      </c>
      <c r="N520">
        <v>-11.06</v>
      </c>
      <c r="O520">
        <v>163</v>
      </c>
      <c r="P520" t="s">
        <v>51</v>
      </c>
      <c r="Q520" t="s">
        <v>57</v>
      </c>
      <c r="R520" t="s">
        <v>35</v>
      </c>
      <c r="S520">
        <v>2010</v>
      </c>
      <c r="T520" t="s">
        <v>36</v>
      </c>
      <c r="U520">
        <v>38621</v>
      </c>
      <c r="V520">
        <v>72.36</v>
      </c>
      <c r="W520">
        <v>96.72</v>
      </c>
      <c r="X520">
        <v>19.82</v>
      </c>
      <c r="Y520">
        <v>51.33</v>
      </c>
    </row>
    <row r="521" spans="1:25" x14ac:dyDescent="0.3">
      <c r="A521" t="s">
        <v>284</v>
      </c>
      <c r="B521" t="str">
        <f t="shared" si="8"/>
        <v>Jun</v>
      </c>
      <c r="C521" t="s">
        <v>44</v>
      </c>
      <c r="D521" t="s">
        <v>45</v>
      </c>
      <c r="E521">
        <v>373477236397.28003</v>
      </c>
      <c r="F521">
        <v>60220.18</v>
      </c>
      <c r="G521">
        <v>15866592933.370001</v>
      </c>
      <c r="H521">
        <v>5485305</v>
      </c>
      <c r="I521">
        <v>7674331</v>
      </c>
      <c r="J521">
        <v>8042480</v>
      </c>
      <c r="K521">
        <v>51.83</v>
      </c>
      <c r="L521">
        <v>-0.21</v>
      </c>
      <c r="M521">
        <v>5.63</v>
      </c>
      <c r="N521">
        <v>-15.68</v>
      </c>
      <c r="O521">
        <v>74</v>
      </c>
      <c r="P521" t="s">
        <v>40</v>
      </c>
      <c r="Q521" t="s">
        <v>28</v>
      </c>
      <c r="R521" t="s">
        <v>42</v>
      </c>
      <c r="S521">
        <v>2023</v>
      </c>
      <c r="T521" t="s">
        <v>36</v>
      </c>
      <c r="U521">
        <v>41464</v>
      </c>
      <c r="V521">
        <v>96.11</v>
      </c>
      <c r="W521">
        <v>91.09</v>
      </c>
      <c r="X521">
        <v>29.62</v>
      </c>
      <c r="Y521">
        <v>99.46</v>
      </c>
    </row>
    <row r="522" spans="1:25" x14ac:dyDescent="0.3">
      <c r="A522" t="s">
        <v>121</v>
      </c>
      <c r="B522" t="str">
        <f t="shared" si="8"/>
        <v>Mar</v>
      </c>
      <c r="C522" t="s">
        <v>44</v>
      </c>
      <c r="D522" t="s">
        <v>45</v>
      </c>
      <c r="E522">
        <v>143622803688.98001</v>
      </c>
      <c r="F522">
        <v>11366.61</v>
      </c>
      <c r="G522">
        <v>22046940921.740002</v>
      </c>
      <c r="H522">
        <v>7044617</v>
      </c>
      <c r="I522">
        <v>11458169</v>
      </c>
      <c r="J522">
        <v>11633632</v>
      </c>
      <c r="K522">
        <v>8.58</v>
      </c>
      <c r="L522">
        <v>-3.8</v>
      </c>
      <c r="M522">
        <v>15.26</v>
      </c>
      <c r="N522">
        <v>-11.67</v>
      </c>
      <c r="O522">
        <v>57</v>
      </c>
      <c r="P522" t="s">
        <v>40</v>
      </c>
      <c r="Q522" t="s">
        <v>41</v>
      </c>
      <c r="R522" t="s">
        <v>29</v>
      </c>
      <c r="S522">
        <v>2020</v>
      </c>
      <c r="T522" t="s">
        <v>36</v>
      </c>
      <c r="U522">
        <v>51503</v>
      </c>
      <c r="V522">
        <v>32.39</v>
      </c>
      <c r="W522">
        <v>41.63</v>
      </c>
      <c r="X522">
        <v>74.17</v>
      </c>
      <c r="Y522">
        <v>40.42</v>
      </c>
    </row>
    <row r="523" spans="1:25" x14ac:dyDescent="0.3">
      <c r="A523" t="s">
        <v>285</v>
      </c>
      <c r="B523" t="str">
        <f t="shared" si="8"/>
        <v>Dec</v>
      </c>
      <c r="C523" t="s">
        <v>60</v>
      </c>
      <c r="D523" t="s">
        <v>61</v>
      </c>
      <c r="E523">
        <v>593262926418.43994</v>
      </c>
      <c r="F523">
        <v>19268.53</v>
      </c>
      <c r="G523">
        <v>7101749999.8699999</v>
      </c>
      <c r="H523">
        <v>3027877</v>
      </c>
      <c r="I523">
        <v>5306674</v>
      </c>
      <c r="J523">
        <v>6022971</v>
      </c>
      <c r="K523">
        <v>37.49</v>
      </c>
      <c r="L523">
        <v>0.95</v>
      </c>
      <c r="M523">
        <v>11.91</v>
      </c>
      <c r="N523">
        <v>9.1999999999999993</v>
      </c>
      <c r="O523">
        <v>12</v>
      </c>
      <c r="P523" t="s">
        <v>40</v>
      </c>
      <c r="Q523" t="s">
        <v>34</v>
      </c>
      <c r="R523" t="s">
        <v>64</v>
      </c>
      <c r="S523">
        <v>2018</v>
      </c>
      <c r="T523" t="s">
        <v>30</v>
      </c>
      <c r="U523">
        <v>17366</v>
      </c>
      <c r="V523">
        <v>78.97</v>
      </c>
      <c r="W523">
        <v>89.28</v>
      </c>
      <c r="X523">
        <v>90.74</v>
      </c>
      <c r="Y523">
        <v>73.349999999999994</v>
      </c>
    </row>
    <row r="524" spans="1:25" x14ac:dyDescent="0.3">
      <c r="A524" t="s">
        <v>346</v>
      </c>
      <c r="B524" t="str">
        <f t="shared" si="8"/>
        <v>Sep</v>
      </c>
      <c r="C524" t="s">
        <v>44</v>
      </c>
      <c r="D524" t="s">
        <v>45</v>
      </c>
      <c r="E524">
        <v>256376749296.54999</v>
      </c>
      <c r="F524">
        <v>58033.79</v>
      </c>
      <c r="G524">
        <v>21536790083.349998</v>
      </c>
      <c r="H524">
        <v>12170675</v>
      </c>
      <c r="I524">
        <v>16889403</v>
      </c>
      <c r="J524">
        <v>17791996</v>
      </c>
      <c r="K524">
        <v>27.76</v>
      </c>
      <c r="L524">
        <v>-2.4700000000000002</v>
      </c>
      <c r="M524">
        <v>11.63</v>
      </c>
      <c r="N524">
        <v>14.46</v>
      </c>
      <c r="O524">
        <v>87</v>
      </c>
      <c r="P524" t="s">
        <v>27</v>
      </c>
      <c r="Q524" t="s">
        <v>57</v>
      </c>
      <c r="R524" t="s">
        <v>64</v>
      </c>
      <c r="S524">
        <v>2020</v>
      </c>
      <c r="T524" t="s">
        <v>36</v>
      </c>
      <c r="U524">
        <v>5565</v>
      </c>
      <c r="V524">
        <v>59.81</v>
      </c>
      <c r="W524">
        <v>54.41</v>
      </c>
      <c r="X524">
        <v>31.3</v>
      </c>
      <c r="Y524">
        <v>50.74</v>
      </c>
    </row>
    <row r="525" spans="1:25" x14ac:dyDescent="0.3">
      <c r="A525" t="s">
        <v>73</v>
      </c>
      <c r="B525" t="str">
        <f t="shared" si="8"/>
        <v>May</v>
      </c>
      <c r="C525" t="s">
        <v>44</v>
      </c>
      <c r="D525" t="s">
        <v>45</v>
      </c>
      <c r="E525">
        <v>743641233873.31995</v>
      </c>
      <c r="F525">
        <v>2910.41</v>
      </c>
      <c r="G525">
        <v>44382481229.870003</v>
      </c>
      <c r="H525">
        <v>13278312</v>
      </c>
      <c r="I525">
        <v>16155274</v>
      </c>
      <c r="J525">
        <v>16610219</v>
      </c>
      <c r="K525">
        <v>25.97</v>
      </c>
      <c r="L525">
        <v>-3.67</v>
      </c>
      <c r="M525">
        <v>12.98</v>
      </c>
      <c r="N525">
        <v>-19.86</v>
      </c>
      <c r="O525">
        <v>81</v>
      </c>
      <c r="P525" t="s">
        <v>46</v>
      </c>
      <c r="Q525" t="s">
        <v>57</v>
      </c>
      <c r="R525" t="s">
        <v>64</v>
      </c>
      <c r="S525">
        <v>2020</v>
      </c>
      <c r="T525" t="s">
        <v>36</v>
      </c>
      <c r="U525">
        <v>57424</v>
      </c>
      <c r="V525">
        <v>33.409999999999997</v>
      </c>
      <c r="W525">
        <v>78.42</v>
      </c>
      <c r="X525">
        <v>55.73</v>
      </c>
      <c r="Y525">
        <v>33.340000000000003</v>
      </c>
    </row>
    <row r="526" spans="1:25" x14ac:dyDescent="0.3">
      <c r="A526" t="s">
        <v>273</v>
      </c>
      <c r="B526" t="str">
        <f t="shared" si="8"/>
        <v>Mar</v>
      </c>
      <c r="C526" t="s">
        <v>60</v>
      </c>
      <c r="D526" t="s">
        <v>61</v>
      </c>
      <c r="E526">
        <v>206967889092.57999</v>
      </c>
      <c r="F526">
        <v>30399.93</v>
      </c>
      <c r="G526">
        <v>32276333063.27</v>
      </c>
      <c r="H526">
        <v>17769293</v>
      </c>
      <c r="I526">
        <v>21819700</v>
      </c>
      <c r="J526">
        <v>22490245</v>
      </c>
      <c r="K526">
        <v>0.08</v>
      </c>
      <c r="L526">
        <v>2.62</v>
      </c>
      <c r="M526">
        <v>-1.4</v>
      </c>
      <c r="N526">
        <v>30</v>
      </c>
      <c r="O526">
        <v>136</v>
      </c>
      <c r="P526" t="s">
        <v>27</v>
      </c>
      <c r="Q526" t="s">
        <v>34</v>
      </c>
      <c r="R526" t="s">
        <v>64</v>
      </c>
      <c r="S526">
        <v>2018</v>
      </c>
      <c r="T526" t="s">
        <v>30</v>
      </c>
      <c r="U526">
        <v>4518</v>
      </c>
      <c r="V526">
        <v>65.39</v>
      </c>
      <c r="W526">
        <v>86.94</v>
      </c>
      <c r="X526">
        <v>63.18</v>
      </c>
      <c r="Y526">
        <v>50.2</v>
      </c>
    </row>
    <row r="527" spans="1:25" x14ac:dyDescent="0.3">
      <c r="A527" t="s">
        <v>347</v>
      </c>
      <c r="B527" t="str">
        <f t="shared" si="8"/>
        <v>Oct</v>
      </c>
      <c r="C527" t="s">
        <v>68</v>
      </c>
      <c r="D527" t="s">
        <v>69</v>
      </c>
      <c r="E527">
        <v>878280784086.69995</v>
      </c>
      <c r="F527">
        <v>8225.49</v>
      </c>
      <c r="G527">
        <v>27713068727.68</v>
      </c>
      <c r="H527">
        <v>4063004</v>
      </c>
      <c r="I527">
        <v>8480045</v>
      </c>
      <c r="J527">
        <v>8581746</v>
      </c>
      <c r="K527">
        <v>50.46</v>
      </c>
      <c r="L527">
        <v>3.97</v>
      </c>
      <c r="M527">
        <v>16.38</v>
      </c>
      <c r="N527">
        <v>-31.81</v>
      </c>
      <c r="O527">
        <v>80</v>
      </c>
      <c r="P527" t="s">
        <v>27</v>
      </c>
      <c r="Q527" t="s">
        <v>41</v>
      </c>
      <c r="R527" t="s">
        <v>74</v>
      </c>
      <c r="S527">
        <v>2014</v>
      </c>
      <c r="T527" t="s">
        <v>36</v>
      </c>
      <c r="U527">
        <v>44668</v>
      </c>
      <c r="V527">
        <v>21.73</v>
      </c>
      <c r="W527">
        <v>81.08</v>
      </c>
      <c r="X527">
        <v>52.75</v>
      </c>
      <c r="Y527">
        <v>25.36</v>
      </c>
    </row>
    <row r="528" spans="1:25" x14ac:dyDescent="0.3">
      <c r="A528" t="s">
        <v>324</v>
      </c>
      <c r="B528" t="str">
        <f t="shared" si="8"/>
        <v>Aug</v>
      </c>
      <c r="C528" t="s">
        <v>38</v>
      </c>
      <c r="D528" t="s">
        <v>39</v>
      </c>
      <c r="E528">
        <v>394261664594.84998</v>
      </c>
      <c r="F528">
        <v>39715.03</v>
      </c>
      <c r="G528">
        <v>11312677830.49</v>
      </c>
      <c r="H528">
        <v>12246561</v>
      </c>
      <c r="I528">
        <v>12668204</v>
      </c>
      <c r="J528">
        <v>12875939</v>
      </c>
      <c r="K528">
        <v>15.81</v>
      </c>
      <c r="L528">
        <v>1.03</v>
      </c>
      <c r="M528">
        <v>3.26</v>
      </c>
      <c r="N528">
        <v>20.69</v>
      </c>
      <c r="O528">
        <v>158</v>
      </c>
      <c r="P528" t="s">
        <v>40</v>
      </c>
      <c r="Q528" t="s">
        <v>41</v>
      </c>
      <c r="R528" t="s">
        <v>35</v>
      </c>
      <c r="S528">
        <v>2023</v>
      </c>
      <c r="T528" t="s">
        <v>36</v>
      </c>
      <c r="U528">
        <v>16128</v>
      </c>
      <c r="V528">
        <v>68.41</v>
      </c>
      <c r="W528">
        <v>99.28</v>
      </c>
      <c r="X528">
        <v>23.58</v>
      </c>
      <c r="Y528">
        <v>15.53</v>
      </c>
    </row>
    <row r="529" spans="1:25" x14ac:dyDescent="0.3">
      <c r="A529" t="s">
        <v>348</v>
      </c>
      <c r="B529" t="str">
        <f t="shared" si="8"/>
        <v>May</v>
      </c>
      <c r="C529" t="s">
        <v>38</v>
      </c>
      <c r="D529" t="s">
        <v>39</v>
      </c>
      <c r="E529">
        <v>173291147170.07999</v>
      </c>
      <c r="F529">
        <v>3348.08</v>
      </c>
      <c r="G529">
        <v>10121317335.459999</v>
      </c>
      <c r="H529">
        <v>14164286</v>
      </c>
      <c r="I529">
        <v>18144431</v>
      </c>
      <c r="J529">
        <v>18800854</v>
      </c>
      <c r="K529">
        <v>26.39</v>
      </c>
      <c r="L529">
        <v>-2.88</v>
      </c>
      <c r="M529">
        <v>-19.13</v>
      </c>
      <c r="N529">
        <v>22.44</v>
      </c>
      <c r="O529">
        <v>199</v>
      </c>
      <c r="P529" t="s">
        <v>46</v>
      </c>
      <c r="Q529" t="s">
        <v>41</v>
      </c>
      <c r="R529" t="s">
        <v>74</v>
      </c>
      <c r="S529">
        <v>2018</v>
      </c>
      <c r="T529" t="s">
        <v>36</v>
      </c>
      <c r="U529">
        <v>14090</v>
      </c>
      <c r="V529">
        <v>64.38</v>
      </c>
      <c r="W529">
        <v>30.9</v>
      </c>
      <c r="X529">
        <v>79.349999999999994</v>
      </c>
      <c r="Y529">
        <v>63.84</v>
      </c>
    </row>
    <row r="530" spans="1:25" x14ac:dyDescent="0.3">
      <c r="A530" t="s">
        <v>349</v>
      </c>
      <c r="B530" t="str">
        <f t="shared" si="8"/>
        <v>May</v>
      </c>
      <c r="C530" t="s">
        <v>25</v>
      </c>
      <c r="D530" t="s">
        <v>26</v>
      </c>
      <c r="E530">
        <v>15375144713.68</v>
      </c>
      <c r="F530">
        <v>19528.79</v>
      </c>
      <c r="G530">
        <v>29429446830.389999</v>
      </c>
      <c r="H530">
        <v>7796029</v>
      </c>
      <c r="I530">
        <v>12282586</v>
      </c>
      <c r="J530">
        <v>13148935</v>
      </c>
      <c r="K530">
        <v>48.25</v>
      </c>
      <c r="L530">
        <v>-0.38</v>
      </c>
      <c r="M530">
        <v>-3.05</v>
      </c>
      <c r="N530">
        <v>19.88</v>
      </c>
      <c r="O530">
        <v>167</v>
      </c>
      <c r="P530" t="s">
        <v>51</v>
      </c>
      <c r="Q530" t="s">
        <v>34</v>
      </c>
      <c r="R530" t="s">
        <v>42</v>
      </c>
      <c r="S530">
        <v>2021</v>
      </c>
      <c r="T530" t="s">
        <v>30</v>
      </c>
      <c r="U530">
        <v>9274</v>
      </c>
      <c r="V530">
        <v>83.4</v>
      </c>
      <c r="W530">
        <v>95.33</v>
      </c>
      <c r="X530">
        <v>75.349999999999994</v>
      </c>
      <c r="Y530">
        <v>63.08</v>
      </c>
    </row>
    <row r="531" spans="1:25" x14ac:dyDescent="0.3">
      <c r="A531" t="s">
        <v>350</v>
      </c>
      <c r="B531" t="str">
        <f t="shared" si="8"/>
        <v>Oct</v>
      </c>
      <c r="C531" t="s">
        <v>44</v>
      </c>
      <c r="D531" t="s">
        <v>45</v>
      </c>
      <c r="E531">
        <v>427753209051.40997</v>
      </c>
      <c r="F531">
        <v>21772.54</v>
      </c>
      <c r="G531">
        <v>528920475.51999998</v>
      </c>
      <c r="H531">
        <v>6958256</v>
      </c>
      <c r="I531">
        <v>10536788</v>
      </c>
      <c r="J531">
        <v>11087735</v>
      </c>
      <c r="K531">
        <v>26.76</v>
      </c>
      <c r="L531">
        <v>4.63</v>
      </c>
      <c r="M531">
        <v>-9</v>
      </c>
      <c r="N531">
        <v>-5.81</v>
      </c>
      <c r="O531">
        <v>182</v>
      </c>
      <c r="P531" t="s">
        <v>27</v>
      </c>
      <c r="Q531" t="s">
        <v>47</v>
      </c>
      <c r="R531" t="s">
        <v>74</v>
      </c>
      <c r="S531">
        <v>2012</v>
      </c>
      <c r="T531" t="s">
        <v>36</v>
      </c>
      <c r="U531">
        <v>40592</v>
      </c>
      <c r="V531">
        <v>16.690000000000001</v>
      </c>
      <c r="W531">
        <v>32.270000000000003</v>
      </c>
      <c r="X531">
        <v>51.07</v>
      </c>
      <c r="Y531">
        <v>49.27</v>
      </c>
    </row>
    <row r="532" spans="1:25" x14ac:dyDescent="0.3">
      <c r="A532" t="s">
        <v>351</v>
      </c>
      <c r="B532" t="str">
        <f t="shared" si="8"/>
        <v>May</v>
      </c>
      <c r="C532" t="s">
        <v>44</v>
      </c>
      <c r="D532" t="s">
        <v>45</v>
      </c>
      <c r="E532">
        <v>94768203405.360001</v>
      </c>
      <c r="F532">
        <v>55164.24</v>
      </c>
      <c r="G532">
        <v>44030059843.480003</v>
      </c>
      <c r="H532">
        <v>14033389</v>
      </c>
      <c r="I532">
        <v>17510981</v>
      </c>
      <c r="J532">
        <v>17986568</v>
      </c>
      <c r="K532">
        <v>29.35</v>
      </c>
      <c r="L532">
        <v>-1.55</v>
      </c>
      <c r="M532">
        <v>14.62</v>
      </c>
      <c r="N532">
        <v>18.68</v>
      </c>
      <c r="O532">
        <v>32</v>
      </c>
      <c r="P532" t="s">
        <v>51</v>
      </c>
      <c r="Q532" t="s">
        <v>34</v>
      </c>
      <c r="R532" t="s">
        <v>64</v>
      </c>
      <c r="S532">
        <v>2017</v>
      </c>
      <c r="T532" t="s">
        <v>36</v>
      </c>
      <c r="U532">
        <v>58954</v>
      </c>
      <c r="V532">
        <v>97.54</v>
      </c>
      <c r="W532">
        <v>57.54</v>
      </c>
      <c r="X532">
        <v>53.77</v>
      </c>
      <c r="Y532">
        <v>83.41</v>
      </c>
    </row>
    <row r="533" spans="1:25" x14ac:dyDescent="0.3">
      <c r="A533" t="s">
        <v>198</v>
      </c>
      <c r="B533" t="str">
        <f t="shared" si="8"/>
        <v>Jun</v>
      </c>
      <c r="C533" t="s">
        <v>68</v>
      </c>
      <c r="D533" t="s">
        <v>69</v>
      </c>
      <c r="E533">
        <v>341610595997.84003</v>
      </c>
      <c r="F533">
        <v>64787.92</v>
      </c>
      <c r="G533">
        <v>22466145007.799999</v>
      </c>
      <c r="H533">
        <v>15448791</v>
      </c>
      <c r="I533">
        <v>15845770</v>
      </c>
      <c r="J533">
        <v>15847631</v>
      </c>
      <c r="K533">
        <v>2.91</v>
      </c>
      <c r="L533">
        <v>3.61</v>
      </c>
      <c r="M533">
        <v>2.39</v>
      </c>
      <c r="N533">
        <v>-3.18</v>
      </c>
      <c r="O533">
        <v>99</v>
      </c>
      <c r="P533" t="s">
        <v>46</v>
      </c>
      <c r="Q533" t="s">
        <v>57</v>
      </c>
      <c r="R533" t="s">
        <v>64</v>
      </c>
      <c r="S533">
        <v>2015</v>
      </c>
      <c r="T533" t="s">
        <v>36</v>
      </c>
      <c r="U533">
        <v>24243</v>
      </c>
      <c r="V533">
        <v>19.170000000000002</v>
      </c>
      <c r="W533">
        <v>46.02</v>
      </c>
      <c r="X533">
        <v>59.1</v>
      </c>
      <c r="Y533">
        <v>23.16</v>
      </c>
    </row>
    <row r="534" spans="1:25" x14ac:dyDescent="0.3">
      <c r="A534" t="s">
        <v>125</v>
      </c>
      <c r="B534" t="str">
        <f t="shared" si="8"/>
        <v>Mar</v>
      </c>
      <c r="C534" t="s">
        <v>55</v>
      </c>
      <c r="D534" t="s">
        <v>56</v>
      </c>
      <c r="E534">
        <v>843769660616.54004</v>
      </c>
      <c r="F534">
        <v>55587.53</v>
      </c>
      <c r="G534">
        <v>26803060494.830002</v>
      </c>
      <c r="H534">
        <v>18514288</v>
      </c>
      <c r="I534">
        <v>21971804</v>
      </c>
      <c r="J534">
        <v>22203741</v>
      </c>
      <c r="K534">
        <v>26.93</v>
      </c>
      <c r="L534">
        <v>3.19</v>
      </c>
      <c r="M534">
        <v>-16.399999999999999</v>
      </c>
      <c r="N534">
        <v>1.63</v>
      </c>
      <c r="O534">
        <v>93</v>
      </c>
      <c r="P534" t="s">
        <v>40</v>
      </c>
      <c r="Q534" t="s">
        <v>41</v>
      </c>
      <c r="R534" t="s">
        <v>35</v>
      </c>
      <c r="S534">
        <v>2016</v>
      </c>
      <c r="T534" t="s">
        <v>58</v>
      </c>
      <c r="U534">
        <v>63677</v>
      </c>
      <c r="V534">
        <v>11.27</v>
      </c>
      <c r="W534">
        <v>35.619999999999997</v>
      </c>
      <c r="X534">
        <v>53.07</v>
      </c>
      <c r="Y534">
        <v>47.75</v>
      </c>
    </row>
    <row r="535" spans="1:25" x14ac:dyDescent="0.3">
      <c r="A535" t="s">
        <v>352</v>
      </c>
      <c r="B535" t="str">
        <f t="shared" si="8"/>
        <v>Oct</v>
      </c>
      <c r="C535" t="s">
        <v>55</v>
      </c>
      <c r="D535" t="s">
        <v>56</v>
      </c>
      <c r="E535">
        <v>350299553254.63</v>
      </c>
      <c r="F535">
        <v>67278.2</v>
      </c>
      <c r="G535">
        <v>20961031386.990002</v>
      </c>
      <c r="H535">
        <v>2883457</v>
      </c>
      <c r="I535">
        <v>6042800</v>
      </c>
      <c r="J535">
        <v>6126250</v>
      </c>
      <c r="K535">
        <v>6.74</v>
      </c>
      <c r="L535">
        <v>-1.77</v>
      </c>
      <c r="M535">
        <v>15.42</v>
      </c>
      <c r="N535">
        <v>0.45</v>
      </c>
      <c r="O535">
        <v>108</v>
      </c>
      <c r="P535" t="s">
        <v>40</v>
      </c>
      <c r="Q535" t="s">
        <v>47</v>
      </c>
      <c r="R535" t="s">
        <v>35</v>
      </c>
      <c r="S535">
        <v>2012</v>
      </c>
      <c r="T535" t="s">
        <v>58</v>
      </c>
      <c r="U535">
        <v>42929</v>
      </c>
      <c r="V535">
        <v>27.12</v>
      </c>
      <c r="W535">
        <v>57.24</v>
      </c>
      <c r="X535">
        <v>30.38</v>
      </c>
      <c r="Y535">
        <v>69.260000000000005</v>
      </c>
    </row>
    <row r="536" spans="1:25" x14ac:dyDescent="0.3">
      <c r="A536" t="s">
        <v>256</v>
      </c>
      <c r="B536" t="str">
        <f t="shared" si="8"/>
        <v>Jun</v>
      </c>
      <c r="C536" t="s">
        <v>38</v>
      </c>
      <c r="D536" t="s">
        <v>39</v>
      </c>
      <c r="E536">
        <v>478234511500.01001</v>
      </c>
      <c r="F536">
        <v>33924.129999999997</v>
      </c>
      <c r="G536">
        <v>12785127566.93</v>
      </c>
      <c r="H536">
        <v>18635182</v>
      </c>
      <c r="I536">
        <v>22973185</v>
      </c>
      <c r="J536">
        <v>23662074</v>
      </c>
      <c r="K536">
        <v>26.48</v>
      </c>
      <c r="L536">
        <v>4.78</v>
      </c>
      <c r="M536">
        <v>-8.09</v>
      </c>
      <c r="N536">
        <v>-27.78</v>
      </c>
      <c r="O536">
        <v>33</v>
      </c>
      <c r="P536" t="s">
        <v>51</v>
      </c>
      <c r="Q536" t="s">
        <v>47</v>
      </c>
      <c r="R536" t="s">
        <v>29</v>
      </c>
      <c r="S536">
        <v>2010</v>
      </c>
      <c r="T536" t="s">
        <v>36</v>
      </c>
      <c r="U536">
        <v>52652</v>
      </c>
      <c r="V536">
        <v>81.44</v>
      </c>
      <c r="W536">
        <v>45.7</v>
      </c>
      <c r="X536">
        <v>91.83</v>
      </c>
      <c r="Y536">
        <v>90.62</v>
      </c>
    </row>
    <row r="537" spans="1:25" x14ac:dyDescent="0.3">
      <c r="A537" t="s">
        <v>155</v>
      </c>
      <c r="B537" t="str">
        <f t="shared" si="8"/>
        <v>Dec</v>
      </c>
      <c r="C537" t="s">
        <v>38</v>
      </c>
      <c r="D537" t="s">
        <v>39</v>
      </c>
      <c r="E537">
        <v>216311041274.51001</v>
      </c>
      <c r="F537">
        <v>60941.06</v>
      </c>
      <c r="G537">
        <v>36770503325.330002</v>
      </c>
      <c r="H537">
        <v>9683923</v>
      </c>
      <c r="I537">
        <v>12760555</v>
      </c>
      <c r="J537">
        <v>13679919</v>
      </c>
      <c r="K537">
        <v>17.3</v>
      </c>
      <c r="L537">
        <v>-0.63</v>
      </c>
      <c r="M537">
        <v>6.06</v>
      </c>
      <c r="N537">
        <v>-4.25</v>
      </c>
      <c r="O537">
        <v>48</v>
      </c>
      <c r="P537" t="s">
        <v>27</v>
      </c>
      <c r="Q537" t="s">
        <v>34</v>
      </c>
      <c r="R537" t="s">
        <v>64</v>
      </c>
      <c r="S537">
        <v>2015</v>
      </c>
      <c r="T537" t="s">
        <v>36</v>
      </c>
      <c r="U537">
        <v>6626</v>
      </c>
      <c r="V537">
        <v>42.19</v>
      </c>
      <c r="W537">
        <v>27.29</v>
      </c>
      <c r="X537">
        <v>32.31</v>
      </c>
      <c r="Y537">
        <v>17.18</v>
      </c>
    </row>
    <row r="538" spans="1:25" x14ac:dyDescent="0.3">
      <c r="A538" t="s">
        <v>212</v>
      </c>
      <c r="B538" t="str">
        <f t="shared" si="8"/>
        <v>Oct</v>
      </c>
      <c r="C538" t="s">
        <v>38</v>
      </c>
      <c r="D538" t="s">
        <v>39</v>
      </c>
      <c r="E538">
        <v>316377321406.06</v>
      </c>
      <c r="F538">
        <v>39519.97</v>
      </c>
      <c r="G538">
        <v>47135191057.75</v>
      </c>
      <c r="H538">
        <v>6929225</v>
      </c>
      <c r="I538">
        <v>10722259</v>
      </c>
      <c r="J538">
        <v>11444247</v>
      </c>
      <c r="K538">
        <v>17.850000000000001</v>
      </c>
      <c r="L538">
        <v>-4.78</v>
      </c>
      <c r="M538">
        <v>-10.19</v>
      </c>
      <c r="N538">
        <v>-31.4</v>
      </c>
      <c r="O538">
        <v>177</v>
      </c>
      <c r="P538" t="s">
        <v>51</v>
      </c>
      <c r="Q538" t="s">
        <v>47</v>
      </c>
      <c r="R538" t="s">
        <v>42</v>
      </c>
      <c r="S538">
        <v>2019</v>
      </c>
      <c r="T538" t="s">
        <v>36</v>
      </c>
      <c r="U538">
        <v>9168</v>
      </c>
      <c r="V538">
        <v>46.89</v>
      </c>
      <c r="W538">
        <v>26.53</v>
      </c>
      <c r="X538">
        <v>45.97</v>
      </c>
      <c r="Y538">
        <v>26.12</v>
      </c>
    </row>
    <row r="539" spans="1:25" x14ac:dyDescent="0.3">
      <c r="A539" t="s">
        <v>127</v>
      </c>
      <c r="B539" t="str">
        <f t="shared" si="8"/>
        <v>Sep</v>
      </c>
      <c r="C539" t="s">
        <v>60</v>
      </c>
      <c r="D539" t="s">
        <v>61</v>
      </c>
      <c r="E539">
        <v>306416609814.85999</v>
      </c>
      <c r="F539">
        <v>32759.49</v>
      </c>
      <c r="G539">
        <v>30441906245.57</v>
      </c>
      <c r="H539">
        <v>11015123</v>
      </c>
      <c r="I539">
        <v>12873026</v>
      </c>
      <c r="J539">
        <v>13335004</v>
      </c>
      <c r="K539">
        <v>14.74</v>
      </c>
      <c r="L539">
        <v>0.46</v>
      </c>
      <c r="M539">
        <v>8.73</v>
      </c>
      <c r="N539">
        <v>-17.88</v>
      </c>
      <c r="O539">
        <v>113</v>
      </c>
      <c r="P539" t="s">
        <v>40</v>
      </c>
      <c r="Q539" t="s">
        <v>47</v>
      </c>
      <c r="R539" t="s">
        <v>42</v>
      </c>
      <c r="S539">
        <v>2017</v>
      </c>
      <c r="T539" t="s">
        <v>30</v>
      </c>
      <c r="U539">
        <v>31536</v>
      </c>
      <c r="V539">
        <v>40.450000000000003</v>
      </c>
      <c r="W539">
        <v>63.75</v>
      </c>
      <c r="X539">
        <v>20.47</v>
      </c>
      <c r="Y539">
        <v>73.73</v>
      </c>
    </row>
    <row r="540" spans="1:25" x14ac:dyDescent="0.3">
      <c r="A540" t="s">
        <v>180</v>
      </c>
      <c r="B540" t="str">
        <f t="shared" si="8"/>
        <v>Apr</v>
      </c>
      <c r="C540" t="s">
        <v>32</v>
      </c>
      <c r="D540" t="s">
        <v>33</v>
      </c>
      <c r="E540">
        <v>755587283099.60999</v>
      </c>
      <c r="F540">
        <v>10816.63</v>
      </c>
      <c r="G540">
        <v>42152919153</v>
      </c>
      <c r="H540">
        <v>14736729</v>
      </c>
      <c r="I540">
        <v>18953576</v>
      </c>
      <c r="J540">
        <v>19768474</v>
      </c>
      <c r="K540">
        <v>11.53</v>
      </c>
      <c r="L540">
        <v>-1.72</v>
      </c>
      <c r="M540">
        <v>-3.14</v>
      </c>
      <c r="N540">
        <v>0.43</v>
      </c>
      <c r="O540">
        <v>147</v>
      </c>
      <c r="P540" t="s">
        <v>53</v>
      </c>
      <c r="Q540" t="s">
        <v>47</v>
      </c>
      <c r="R540" t="s">
        <v>42</v>
      </c>
      <c r="S540">
        <v>2012</v>
      </c>
      <c r="T540" t="s">
        <v>36</v>
      </c>
      <c r="U540">
        <v>48552</v>
      </c>
      <c r="V540">
        <v>25.91</v>
      </c>
      <c r="W540">
        <v>37.619999999999997</v>
      </c>
      <c r="X540">
        <v>90.08</v>
      </c>
      <c r="Y540">
        <v>77.930000000000007</v>
      </c>
    </row>
    <row r="541" spans="1:25" x14ac:dyDescent="0.3">
      <c r="A541" t="s">
        <v>239</v>
      </c>
      <c r="B541" t="str">
        <f t="shared" si="8"/>
        <v>Jul</v>
      </c>
      <c r="C541" t="s">
        <v>32</v>
      </c>
      <c r="D541" t="s">
        <v>33</v>
      </c>
      <c r="E541">
        <v>140322335467.91</v>
      </c>
      <c r="F541">
        <v>53409.93</v>
      </c>
      <c r="G541">
        <v>20825673508.360001</v>
      </c>
      <c r="H541">
        <v>17519426</v>
      </c>
      <c r="I541">
        <v>20125809</v>
      </c>
      <c r="J541">
        <v>20745319</v>
      </c>
      <c r="K541">
        <v>51.63</v>
      </c>
      <c r="L541">
        <v>-2.71</v>
      </c>
      <c r="M541">
        <v>-11.68</v>
      </c>
      <c r="N541">
        <v>12.53</v>
      </c>
      <c r="O541">
        <v>107</v>
      </c>
      <c r="P541" t="s">
        <v>53</v>
      </c>
      <c r="Q541" t="s">
        <v>47</v>
      </c>
      <c r="R541" t="s">
        <v>74</v>
      </c>
      <c r="S541">
        <v>2017</v>
      </c>
      <c r="T541" t="s">
        <v>36</v>
      </c>
      <c r="U541">
        <v>46467</v>
      </c>
      <c r="V541">
        <v>51.04</v>
      </c>
      <c r="W541">
        <v>45.57</v>
      </c>
      <c r="X541">
        <v>10.029999999999999</v>
      </c>
      <c r="Y541">
        <v>82.46</v>
      </c>
    </row>
    <row r="542" spans="1:25" x14ac:dyDescent="0.3">
      <c r="A542" t="s">
        <v>217</v>
      </c>
      <c r="B542" t="str">
        <f t="shared" si="8"/>
        <v>Aug</v>
      </c>
      <c r="C542" t="s">
        <v>68</v>
      </c>
      <c r="D542" t="s">
        <v>69</v>
      </c>
      <c r="E542">
        <v>109883313985.28</v>
      </c>
      <c r="F542">
        <v>39450.68</v>
      </c>
      <c r="G542">
        <v>33957451358.830002</v>
      </c>
      <c r="H542">
        <v>15122839</v>
      </c>
      <c r="I542">
        <v>18680982</v>
      </c>
      <c r="J542">
        <v>19271461</v>
      </c>
      <c r="K542">
        <v>0.14000000000000001</v>
      </c>
      <c r="L542">
        <v>4.0999999999999996</v>
      </c>
      <c r="M542">
        <v>3.77</v>
      </c>
      <c r="N542">
        <v>-23.3</v>
      </c>
      <c r="O542">
        <v>74</v>
      </c>
      <c r="P542" t="s">
        <v>46</v>
      </c>
      <c r="Q542" t="s">
        <v>41</v>
      </c>
      <c r="R542" t="s">
        <v>74</v>
      </c>
      <c r="S542">
        <v>2017</v>
      </c>
      <c r="T542" t="s">
        <v>36</v>
      </c>
      <c r="U542">
        <v>41983</v>
      </c>
      <c r="V542">
        <v>77.84</v>
      </c>
      <c r="W542">
        <v>24.03</v>
      </c>
      <c r="X542">
        <v>71.7</v>
      </c>
      <c r="Y542">
        <v>80.59</v>
      </c>
    </row>
    <row r="543" spans="1:25" x14ac:dyDescent="0.3">
      <c r="A543" t="s">
        <v>322</v>
      </c>
      <c r="B543" t="str">
        <f t="shared" si="8"/>
        <v>Mar</v>
      </c>
      <c r="C543" t="s">
        <v>60</v>
      </c>
      <c r="D543" t="s">
        <v>61</v>
      </c>
      <c r="E543">
        <v>279309872719.33002</v>
      </c>
      <c r="F543">
        <v>20078.8</v>
      </c>
      <c r="G543">
        <v>25975595335.080002</v>
      </c>
      <c r="H543">
        <v>9294645</v>
      </c>
      <c r="I543">
        <v>12253989</v>
      </c>
      <c r="J543">
        <v>12584822</v>
      </c>
      <c r="K543">
        <v>6.07</v>
      </c>
      <c r="L543">
        <v>3.89</v>
      </c>
      <c r="M543">
        <v>17.579999999999998</v>
      </c>
      <c r="N543">
        <v>29.59</v>
      </c>
      <c r="O543">
        <v>190</v>
      </c>
      <c r="P543" t="s">
        <v>27</v>
      </c>
      <c r="Q543" t="s">
        <v>28</v>
      </c>
      <c r="R543" t="s">
        <v>64</v>
      </c>
      <c r="S543">
        <v>2017</v>
      </c>
      <c r="T543" t="s">
        <v>30</v>
      </c>
      <c r="U543">
        <v>36196</v>
      </c>
      <c r="V543">
        <v>25.56</v>
      </c>
      <c r="W543">
        <v>84.41</v>
      </c>
      <c r="X543">
        <v>44.51</v>
      </c>
      <c r="Y543">
        <v>26.94</v>
      </c>
    </row>
    <row r="544" spans="1:25" x14ac:dyDescent="0.3">
      <c r="A544" t="s">
        <v>353</v>
      </c>
      <c r="B544" t="str">
        <f t="shared" si="8"/>
        <v>May</v>
      </c>
      <c r="C544" t="s">
        <v>60</v>
      </c>
      <c r="D544" t="s">
        <v>61</v>
      </c>
      <c r="E544">
        <v>450920566170.08002</v>
      </c>
      <c r="F544">
        <v>15709.15</v>
      </c>
      <c r="G544">
        <v>8014936832.9799995</v>
      </c>
      <c r="H544">
        <v>6957036</v>
      </c>
      <c r="I544">
        <v>10797853</v>
      </c>
      <c r="J544">
        <v>10941835</v>
      </c>
      <c r="K544">
        <v>46.07</v>
      </c>
      <c r="L544">
        <v>-3.29</v>
      </c>
      <c r="M544">
        <v>6.89</v>
      </c>
      <c r="N544">
        <v>-22.33</v>
      </c>
      <c r="O544">
        <v>153</v>
      </c>
      <c r="P544" t="s">
        <v>46</v>
      </c>
      <c r="Q544" t="s">
        <v>41</v>
      </c>
      <c r="R544" t="s">
        <v>42</v>
      </c>
      <c r="S544">
        <v>2020</v>
      </c>
      <c r="T544" t="s">
        <v>30</v>
      </c>
      <c r="U544">
        <v>55310</v>
      </c>
      <c r="V544">
        <v>67.37</v>
      </c>
      <c r="W544">
        <v>90.99</v>
      </c>
      <c r="X544">
        <v>42.15</v>
      </c>
      <c r="Y544">
        <v>70.03</v>
      </c>
    </row>
    <row r="545" spans="1:25" x14ac:dyDescent="0.3">
      <c r="A545" t="s">
        <v>259</v>
      </c>
      <c r="B545" t="str">
        <f t="shared" si="8"/>
        <v>Jul</v>
      </c>
      <c r="C545" t="s">
        <v>55</v>
      </c>
      <c r="D545" t="s">
        <v>56</v>
      </c>
      <c r="E545">
        <v>85710671140.899994</v>
      </c>
      <c r="F545">
        <v>47243.49</v>
      </c>
      <c r="G545">
        <v>17520257829.540001</v>
      </c>
      <c r="H545">
        <v>11439639</v>
      </c>
      <c r="I545">
        <v>14382493</v>
      </c>
      <c r="J545">
        <v>14951995</v>
      </c>
      <c r="K545">
        <v>24.01</v>
      </c>
      <c r="L545">
        <v>-3.11</v>
      </c>
      <c r="M545">
        <v>-13.79</v>
      </c>
      <c r="N545">
        <v>-28</v>
      </c>
      <c r="O545">
        <v>154</v>
      </c>
      <c r="P545" t="s">
        <v>53</v>
      </c>
      <c r="Q545" t="s">
        <v>34</v>
      </c>
      <c r="R545" t="s">
        <v>42</v>
      </c>
      <c r="S545">
        <v>2016</v>
      </c>
      <c r="T545" t="s">
        <v>58</v>
      </c>
      <c r="U545">
        <v>62732</v>
      </c>
      <c r="V545">
        <v>99.31</v>
      </c>
      <c r="W545">
        <v>43.83</v>
      </c>
      <c r="X545">
        <v>22.1</v>
      </c>
      <c r="Y545">
        <v>61.63</v>
      </c>
    </row>
    <row r="546" spans="1:25" x14ac:dyDescent="0.3">
      <c r="A546" t="s">
        <v>354</v>
      </c>
      <c r="B546" t="str">
        <f t="shared" si="8"/>
        <v>Feb</v>
      </c>
      <c r="C546" t="s">
        <v>38</v>
      </c>
      <c r="D546" t="s">
        <v>39</v>
      </c>
      <c r="E546">
        <v>765999205192.60999</v>
      </c>
      <c r="F546">
        <v>5653.36</v>
      </c>
      <c r="G546">
        <v>16682437275.83</v>
      </c>
      <c r="H546">
        <v>1682913</v>
      </c>
      <c r="I546">
        <v>5587068</v>
      </c>
      <c r="J546">
        <v>5898603</v>
      </c>
      <c r="K546">
        <v>55.49</v>
      </c>
      <c r="L546">
        <v>-3.2</v>
      </c>
      <c r="M546">
        <v>-1.47</v>
      </c>
      <c r="N546">
        <v>-34.229999999999997</v>
      </c>
      <c r="O546">
        <v>41</v>
      </c>
      <c r="P546" t="s">
        <v>46</v>
      </c>
      <c r="Q546" t="s">
        <v>28</v>
      </c>
      <c r="R546" t="s">
        <v>29</v>
      </c>
      <c r="S546">
        <v>2012</v>
      </c>
      <c r="T546" t="s">
        <v>36</v>
      </c>
      <c r="U546">
        <v>39643</v>
      </c>
      <c r="V546">
        <v>77.64</v>
      </c>
      <c r="W546">
        <v>53.3</v>
      </c>
      <c r="X546">
        <v>35.590000000000003</v>
      </c>
      <c r="Y546">
        <v>61.63</v>
      </c>
    </row>
    <row r="547" spans="1:25" x14ac:dyDescent="0.3">
      <c r="A547" t="s">
        <v>137</v>
      </c>
      <c r="B547" t="str">
        <f t="shared" si="8"/>
        <v>Oct</v>
      </c>
      <c r="C547" t="s">
        <v>55</v>
      </c>
      <c r="D547" t="s">
        <v>56</v>
      </c>
      <c r="E547">
        <v>353711812889.81</v>
      </c>
      <c r="F547">
        <v>12613.86</v>
      </c>
      <c r="G547">
        <v>49049649731.900002</v>
      </c>
      <c r="H547">
        <v>5320559</v>
      </c>
      <c r="I547">
        <v>7998271</v>
      </c>
      <c r="J547">
        <v>8255612</v>
      </c>
      <c r="K547">
        <v>37.86</v>
      </c>
      <c r="L547">
        <v>-2.34</v>
      </c>
      <c r="M547">
        <v>5.86</v>
      </c>
      <c r="N547">
        <v>38.29</v>
      </c>
      <c r="O547">
        <v>33</v>
      </c>
      <c r="P547" t="s">
        <v>27</v>
      </c>
      <c r="Q547" t="s">
        <v>41</v>
      </c>
      <c r="R547" t="s">
        <v>64</v>
      </c>
      <c r="S547">
        <v>2019</v>
      </c>
      <c r="T547" t="s">
        <v>58</v>
      </c>
      <c r="U547">
        <v>62445</v>
      </c>
      <c r="V547">
        <v>79.27</v>
      </c>
      <c r="W547">
        <v>63.41</v>
      </c>
      <c r="X547">
        <v>29.45</v>
      </c>
      <c r="Y547">
        <v>69.39</v>
      </c>
    </row>
    <row r="548" spans="1:25" x14ac:dyDescent="0.3">
      <c r="A548" t="s">
        <v>355</v>
      </c>
      <c r="B548" t="str">
        <f t="shared" si="8"/>
        <v>Jun</v>
      </c>
      <c r="C548" t="s">
        <v>25</v>
      </c>
      <c r="D548" t="s">
        <v>26</v>
      </c>
      <c r="E548">
        <v>424373163905.29999</v>
      </c>
      <c r="F548">
        <v>61131.3</v>
      </c>
      <c r="G548">
        <v>4472488714.5799999</v>
      </c>
      <c r="H548">
        <v>16390731</v>
      </c>
      <c r="I548">
        <v>20924726</v>
      </c>
      <c r="J548">
        <v>21828179</v>
      </c>
      <c r="K548">
        <v>13.82</v>
      </c>
      <c r="L548">
        <v>-4.25</v>
      </c>
      <c r="M548">
        <v>4.0999999999999996</v>
      </c>
      <c r="N548">
        <v>-17.78</v>
      </c>
      <c r="O548">
        <v>168</v>
      </c>
      <c r="P548" t="s">
        <v>51</v>
      </c>
      <c r="Q548" t="s">
        <v>28</v>
      </c>
      <c r="R548" t="s">
        <v>29</v>
      </c>
      <c r="S548">
        <v>2021</v>
      </c>
      <c r="T548" t="s">
        <v>30</v>
      </c>
      <c r="U548">
        <v>25903</v>
      </c>
      <c r="V548">
        <v>96.57</v>
      </c>
      <c r="W548">
        <v>62.6</v>
      </c>
      <c r="X548">
        <v>98.03</v>
      </c>
      <c r="Y548">
        <v>99.13</v>
      </c>
    </row>
    <row r="549" spans="1:25" x14ac:dyDescent="0.3">
      <c r="A549" t="s">
        <v>356</v>
      </c>
      <c r="B549" t="str">
        <f t="shared" si="8"/>
        <v>Dec</v>
      </c>
      <c r="C549" t="s">
        <v>55</v>
      </c>
      <c r="D549" t="s">
        <v>56</v>
      </c>
      <c r="E549">
        <v>538255000388.07001</v>
      </c>
      <c r="F549">
        <v>27630.21</v>
      </c>
      <c r="G549">
        <v>13573968297.1</v>
      </c>
      <c r="H549">
        <v>10001236</v>
      </c>
      <c r="I549">
        <v>11312587</v>
      </c>
      <c r="J549">
        <v>11780189</v>
      </c>
      <c r="K549">
        <v>45.32</v>
      </c>
      <c r="L549">
        <v>-4.54</v>
      </c>
      <c r="M549">
        <v>-9.43</v>
      </c>
      <c r="N549">
        <v>-8.07</v>
      </c>
      <c r="O549">
        <v>71</v>
      </c>
      <c r="P549" t="s">
        <v>51</v>
      </c>
      <c r="Q549" t="s">
        <v>34</v>
      </c>
      <c r="R549" t="s">
        <v>29</v>
      </c>
      <c r="S549">
        <v>2018</v>
      </c>
      <c r="T549" t="s">
        <v>58</v>
      </c>
      <c r="U549">
        <v>7056</v>
      </c>
      <c r="V549">
        <v>22.09</v>
      </c>
      <c r="W549">
        <v>68.88</v>
      </c>
      <c r="X549">
        <v>42.87</v>
      </c>
      <c r="Y549">
        <v>88.78</v>
      </c>
    </row>
    <row r="550" spans="1:25" x14ac:dyDescent="0.3">
      <c r="A550" t="s">
        <v>357</v>
      </c>
      <c r="B550" t="str">
        <f t="shared" si="8"/>
        <v>May</v>
      </c>
      <c r="C550" t="s">
        <v>55</v>
      </c>
      <c r="D550" t="s">
        <v>56</v>
      </c>
      <c r="E550">
        <v>145738874164.97</v>
      </c>
      <c r="F550">
        <v>65504.34</v>
      </c>
      <c r="G550">
        <v>20220187874.5</v>
      </c>
      <c r="H550">
        <v>7088641</v>
      </c>
      <c r="I550">
        <v>7501800</v>
      </c>
      <c r="J550">
        <v>7889289</v>
      </c>
      <c r="K550">
        <v>38.21</v>
      </c>
      <c r="L550">
        <v>4</v>
      </c>
      <c r="M550">
        <v>-15.15</v>
      </c>
      <c r="N550">
        <v>26.61</v>
      </c>
      <c r="O550">
        <v>66</v>
      </c>
      <c r="P550" t="s">
        <v>53</v>
      </c>
      <c r="Q550" t="s">
        <v>28</v>
      </c>
      <c r="R550" t="s">
        <v>29</v>
      </c>
      <c r="S550">
        <v>2021</v>
      </c>
      <c r="T550" t="s">
        <v>58</v>
      </c>
      <c r="U550">
        <v>5865</v>
      </c>
      <c r="V550">
        <v>58.15</v>
      </c>
      <c r="W550">
        <v>46.45</v>
      </c>
      <c r="X550">
        <v>86.93</v>
      </c>
      <c r="Y550">
        <v>52.46</v>
      </c>
    </row>
    <row r="551" spans="1:25" x14ac:dyDescent="0.3">
      <c r="A551" t="s">
        <v>358</v>
      </c>
      <c r="B551" t="str">
        <f t="shared" si="8"/>
        <v>Mar</v>
      </c>
      <c r="C551" t="s">
        <v>60</v>
      </c>
      <c r="D551" t="s">
        <v>61</v>
      </c>
      <c r="E551">
        <v>775779267783.60999</v>
      </c>
      <c r="F551">
        <v>62647.99</v>
      </c>
      <c r="G551">
        <v>43263216602.169998</v>
      </c>
      <c r="H551">
        <v>7948255</v>
      </c>
      <c r="I551">
        <v>8673888</v>
      </c>
      <c r="J551">
        <v>9324523</v>
      </c>
      <c r="K551">
        <v>5.72</v>
      </c>
      <c r="L551">
        <v>-4.2</v>
      </c>
      <c r="M551">
        <v>-17.850000000000001</v>
      </c>
      <c r="N551">
        <v>1.45</v>
      </c>
      <c r="O551">
        <v>102</v>
      </c>
      <c r="P551" t="s">
        <v>40</v>
      </c>
      <c r="Q551" t="s">
        <v>34</v>
      </c>
      <c r="R551" t="s">
        <v>29</v>
      </c>
      <c r="S551">
        <v>2011</v>
      </c>
      <c r="T551" t="s">
        <v>30</v>
      </c>
      <c r="U551">
        <v>43447</v>
      </c>
      <c r="V551">
        <v>40.54</v>
      </c>
      <c r="W551">
        <v>38.979999999999997</v>
      </c>
      <c r="X551">
        <v>46.21</v>
      </c>
      <c r="Y551">
        <v>20.89</v>
      </c>
    </row>
    <row r="552" spans="1:25" x14ac:dyDescent="0.3">
      <c r="A552" t="s">
        <v>359</v>
      </c>
      <c r="B552" t="str">
        <f t="shared" si="8"/>
        <v>May</v>
      </c>
      <c r="C552" t="s">
        <v>55</v>
      </c>
      <c r="D552" t="s">
        <v>56</v>
      </c>
      <c r="E552">
        <v>110290914406.38</v>
      </c>
      <c r="F552">
        <v>62834.12</v>
      </c>
      <c r="G552">
        <v>27860841599.380001</v>
      </c>
      <c r="H552">
        <v>3107108</v>
      </c>
      <c r="I552">
        <v>6580515</v>
      </c>
      <c r="J552">
        <v>7416148</v>
      </c>
      <c r="K552">
        <v>12.26</v>
      </c>
      <c r="L552">
        <v>-2.08</v>
      </c>
      <c r="M552">
        <v>4.7300000000000004</v>
      </c>
      <c r="N552">
        <v>-5.59</v>
      </c>
      <c r="O552">
        <v>84</v>
      </c>
      <c r="P552" t="s">
        <v>46</v>
      </c>
      <c r="Q552" t="s">
        <v>57</v>
      </c>
      <c r="R552" t="s">
        <v>64</v>
      </c>
      <c r="S552">
        <v>2014</v>
      </c>
      <c r="T552" t="s">
        <v>58</v>
      </c>
      <c r="U552">
        <v>7450</v>
      </c>
      <c r="V552">
        <v>12.66</v>
      </c>
      <c r="W552">
        <v>51.74</v>
      </c>
      <c r="X552">
        <v>50.94</v>
      </c>
      <c r="Y552">
        <v>41</v>
      </c>
    </row>
    <row r="553" spans="1:25" x14ac:dyDescent="0.3">
      <c r="A553" t="s">
        <v>318</v>
      </c>
      <c r="B553" t="str">
        <f t="shared" si="8"/>
        <v>Apr</v>
      </c>
      <c r="C553" t="s">
        <v>44</v>
      </c>
      <c r="D553" t="s">
        <v>45</v>
      </c>
      <c r="E553">
        <v>784432296760.31006</v>
      </c>
      <c r="F553">
        <v>62660.45</v>
      </c>
      <c r="G553">
        <v>36589805428.860001</v>
      </c>
      <c r="H553">
        <v>16970553</v>
      </c>
      <c r="I553">
        <v>17612527</v>
      </c>
      <c r="J553">
        <v>18119089</v>
      </c>
      <c r="K553">
        <v>0.81</v>
      </c>
      <c r="L553">
        <v>4.68</v>
      </c>
      <c r="M553">
        <v>-13.21</v>
      </c>
      <c r="N553">
        <v>6.44</v>
      </c>
      <c r="O553">
        <v>151</v>
      </c>
      <c r="P553" t="s">
        <v>53</v>
      </c>
      <c r="Q553" t="s">
        <v>34</v>
      </c>
      <c r="R553" t="s">
        <v>42</v>
      </c>
      <c r="S553">
        <v>2010</v>
      </c>
      <c r="T553" t="s">
        <v>36</v>
      </c>
      <c r="U553">
        <v>31712</v>
      </c>
      <c r="V553">
        <v>66.5</v>
      </c>
      <c r="W553">
        <v>39.380000000000003</v>
      </c>
      <c r="X553">
        <v>11.41</v>
      </c>
      <c r="Y553">
        <v>64.709999999999994</v>
      </c>
    </row>
    <row r="554" spans="1:25" x14ac:dyDescent="0.3">
      <c r="A554" t="s">
        <v>230</v>
      </c>
      <c r="B554" t="str">
        <f t="shared" si="8"/>
        <v>Apr</v>
      </c>
      <c r="C554" t="s">
        <v>25</v>
      </c>
      <c r="D554" t="s">
        <v>26</v>
      </c>
      <c r="E554">
        <v>89425050854.440002</v>
      </c>
      <c r="F554">
        <v>60563.02</v>
      </c>
      <c r="G554">
        <v>42092775189.410004</v>
      </c>
      <c r="H554">
        <v>10874882</v>
      </c>
      <c r="I554">
        <v>14818547</v>
      </c>
      <c r="J554">
        <v>14856731</v>
      </c>
      <c r="K554">
        <v>36.01</v>
      </c>
      <c r="L554">
        <v>-0.45</v>
      </c>
      <c r="M554">
        <v>9.3000000000000007</v>
      </c>
      <c r="N554">
        <v>-23.12</v>
      </c>
      <c r="O554">
        <v>127</v>
      </c>
      <c r="P554" t="s">
        <v>51</v>
      </c>
      <c r="Q554" t="s">
        <v>57</v>
      </c>
      <c r="R554" t="s">
        <v>29</v>
      </c>
      <c r="S554">
        <v>2016</v>
      </c>
      <c r="T554" t="s">
        <v>30</v>
      </c>
      <c r="U554">
        <v>22775</v>
      </c>
      <c r="V554">
        <v>86.28</v>
      </c>
      <c r="W554">
        <v>92.99</v>
      </c>
      <c r="X554">
        <v>50.64</v>
      </c>
      <c r="Y554">
        <v>96.67</v>
      </c>
    </row>
    <row r="555" spans="1:25" x14ac:dyDescent="0.3">
      <c r="A555" t="s">
        <v>212</v>
      </c>
      <c r="B555" t="str">
        <f t="shared" si="8"/>
        <v>Oct</v>
      </c>
      <c r="C555" t="s">
        <v>55</v>
      </c>
      <c r="D555" t="s">
        <v>56</v>
      </c>
      <c r="E555">
        <v>456757927556.33002</v>
      </c>
      <c r="F555">
        <v>48479.12</v>
      </c>
      <c r="G555">
        <v>20059029040.639999</v>
      </c>
      <c r="H555">
        <v>14590728</v>
      </c>
      <c r="I555">
        <v>15270679</v>
      </c>
      <c r="J555">
        <v>15930150</v>
      </c>
      <c r="K555">
        <v>36.22</v>
      </c>
      <c r="L555">
        <v>-0.51</v>
      </c>
      <c r="M555">
        <v>-1.25</v>
      </c>
      <c r="N555">
        <v>-34.11</v>
      </c>
      <c r="O555">
        <v>35</v>
      </c>
      <c r="P555" t="s">
        <v>40</v>
      </c>
      <c r="Q555" t="s">
        <v>57</v>
      </c>
      <c r="R555" t="s">
        <v>74</v>
      </c>
      <c r="S555">
        <v>2016</v>
      </c>
      <c r="T555" t="s">
        <v>58</v>
      </c>
      <c r="U555">
        <v>21114</v>
      </c>
      <c r="V555">
        <v>79.13</v>
      </c>
      <c r="W555">
        <v>89.77</v>
      </c>
      <c r="X555">
        <v>40.479999999999997</v>
      </c>
      <c r="Y555">
        <v>19.079999999999998</v>
      </c>
    </row>
    <row r="556" spans="1:25" x14ac:dyDescent="0.3">
      <c r="A556" t="s">
        <v>360</v>
      </c>
      <c r="B556" t="str">
        <f t="shared" si="8"/>
        <v>Mar</v>
      </c>
      <c r="C556" t="s">
        <v>25</v>
      </c>
      <c r="D556" t="s">
        <v>26</v>
      </c>
      <c r="E556">
        <v>389417130430.48999</v>
      </c>
      <c r="F556">
        <v>12845.77</v>
      </c>
      <c r="G556">
        <v>27648287742.200001</v>
      </c>
      <c r="H556">
        <v>7580497</v>
      </c>
      <c r="I556">
        <v>8403412</v>
      </c>
      <c r="J556">
        <v>8474530</v>
      </c>
      <c r="K556">
        <v>6.57</v>
      </c>
      <c r="L556">
        <v>-1.48</v>
      </c>
      <c r="M556">
        <v>18.93</v>
      </c>
      <c r="N556">
        <v>20.52</v>
      </c>
      <c r="O556">
        <v>23</v>
      </c>
      <c r="P556" t="s">
        <v>46</v>
      </c>
      <c r="Q556" t="s">
        <v>47</v>
      </c>
      <c r="R556" t="s">
        <v>35</v>
      </c>
      <c r="S556">
        <v>2019</v>
      </c>
      <c r="T556" t="s">
        <v>30</v>
      </c>
      <c r="U556">
        <v>23123</v>
      </c>
      <c r="V556">
        <v>75.569999999999993</v>
      </c>
      <c r="W556">
        <v>86.37</v>
      </c>
      <c r="X556">
        <v>57.59</v>
      </c>
      <c r="Y556">
        <v>88.96</v>
      </c>
    </row>
    <row r="557" spans="1:25" x14ac:dyDescent="0.3">
      <c r="A557" t="s">
        <v>156</v>
      </c>
      <c r="B557" t="str">
        <f t="shared" si="8"/>
        <v>Feb</v>
      </c>
      <c r="C557" t="s">
        <v>68</v>
      </c>
      <c r="D557" t="s">
        <v>69</v>
      </c>
      <c r="E557">
        <v>188658960143.92999</v>
      </c>
      <c r="F557">
        <v>52039.37</v>
      </c>
      <c r="G557">
        <v>43184707160.080002</v>
      </c>
      <c r="H557">
        <v>2336211</v>
      </c>
      <c r="I557">
        <v>4258768</v>
      </c>
      <c r="J557">
        <v>4346933</v>
      </c>
      <c r="K557">
        <v>6.43</v>
      </c>
      <c r="L557">
        <v>4.25</v>
      </c>
      <c r="M557">
        <v>3.32</v>
      </c>
      <c r="N557">
        <v>15.57</v>
      </c>
      <c r="O557">
        <v>131</v>
      </c>
      <c r="P557" t="s">
        <v>51</v>
      </c>
      <c r="Q557" t="s">
        <v>41</v>
      </c>
      <c r="R557" t="s">
        <v>42</v>
      </c>
      <c r="S557">
        <v>2011</v>
      </c>
      <c r="T557" t="s">
        <v>36</v>
      </c>
      <c r="U557">
        <v>16348</v>
      </c>
      <c r="V557">
        <v>95.28</v>
      </c>
      <c r="W557">
        <v>64.260000000000005</v>
      </c>
      <c r="X557">
        <v>56.69</v>
      </c>
      <c r="Y557">
        <v>83.47</v>
      </c>
    </row>
    <row r="558" spans="1:25" x14ac:dyDescent="0.3">
      <c r="A558" t="s">
        <v>145</v>
      </c>
      <c r="B558" t="str">
        <f t="shared" si="8"/>
        <v>Nov</v>
      </c>
      <c r="C558" t="s">
        <v>90</v>
      </c>
      <c r="D558" t="s">
        <v>91</v>
      </c>
      <c r="E558">
        <v>499676784779.02002</v>
      </c>
      <c r="F558">
        <v>54932.09</v>
      </c>
      <c r="G558">
        <v>38150632712.669998</v>
      </c>
      <c r="H558">
        <v>6005863</v>
      </c>
      <c r="I558">
        <v>8282497</v>
      </c>
      <c r="J558">
        <v>8893390</v>
      </c>
      <c r="K558">
        <v>15.93</v>
      </c>
      <c r="L558">
        <v>4.82</v>
      </c>
      <c r="M558">
        <v>-18.93</v>
      </c>
      <c r="N558">
        <v>-0.05</v>
      </c>
      <c r="O558">
        <v>174</v>
      </c>
      <c r="P558" t="s">
        <v>53</v>
      </c>
      <c r="Q558" t="s">
        <v>28</v>
      </c>
      <c r="R558" t="s">
        <v>35</v>
      </c>
      <c r="S558">
        <v>2021</v>
      </c>
      <c r="T558" t="s">
        <v>30</v>
      </c>
      <c r="U558">
        <v>38761</v>
      </c>
      <c r="V558">
        <v>29.88</v>
      </c>
      <c r="W558">
        <v>77.94</v>
      </c>
      <c r="X558">
        <v>46.14</v>
      </c>
      <c r="Y558">
        <v>43.4</v>
      </c>
    </row>
    <row r="559" spans="1:25" x14ac:dyDescent="0.3">
      <c r="A559" t="s">
        <v>281</v>
      </c>
      <c r="B559" t="str">
        <f t="shared" si="8"/>
        <v>May</v>
      </c>
      <c r="C559" t="s">
        <v>90</v>
      </c>
      <c r="D559" t="s">
        <v>91</v>
      </c>
      <c r="E559">
        <v>350924798852.96002</v>
      </c>
      <c r="F559">
        <v>13236.61</v>
      </c>
      <c r="G559">
        <v>2315495864.5500002</v>
      </c>
      <c r="H559">
        <v>5031136</v>
      </c>
      <c r="I559">
        <v>5840178</v>
      </c>
      <c r="J559">
        <v>6698643</v>
      </c>
      <c r="K559">
        <v>23.32</v>
      </c>
      <c r="L559">
        <v>-2.7</v>
      </c>
      <c r="M559">
        <v>5.91</v>
      </c>
      <c r="N559">
        <v>4.45</v>
      </c>
      <c r="O559">
        <v>35</v>
      </c>
      <c r="P559" t="s">
        <v>51</v>
      </c>
      <c r="Q559" t="s">
        <v>34</v>
      </c>
      <c r="R559" t="s">
        <v>42</v>
      </c>
      <c r="S559">
        <v>2018</v>
      </c>
      <c r="T559" t="s">
        <v>30</v>
      </c>
      <c r="U559">
        <v>27152</v>
      </c>
      <c r="V559">
        <v>15.95</v>
      </c>
      <c r="W559">
        <v>28.96</v>
      </c>
      <c r="X559">
        <v>11.35</v>
      </c>
      <c r="Y559">
        <v>65.400000000000006</v>
      </c>
    </row>
    <row r="560" spans="1:25" x14ac:dyDescent="0.3">
      <c r="A560" t="s">
        <v>317</v>
      </c>
      <c r="B560" t="str">
        <f t="shared" si="8"/>
        <v>Nov</v>
      </c>
      <c r="C560" t="s">
        <v>38</v>
      </c>
      <c r="D560" t="s">
        <v>39</v>
      </c>
      <c r="E560">
        <v>311484760241.58002</v>
      </c>
      <c r="F560">
        <v>22831.7</v>
      </c>
      <c r="G560">
        <v>20773745063.700001</v>
      </c>
      <c r="H560">
        <v>1351955</v>
      </c>
      <c r="I560">
        <v>2993372</v>
      </c>
      <c r="J560">
        <v>3889456</v>
      </c>
      <c r="K560">
        <v>42.09</v>
      </c>
      <c r="L560">
        <v>1.29</v>
      </c>
      <c r="M560">
        <v>-2.23</v>
      </c>
      <c r="N560">
        <v>33.93</v>
      </c>
      <c r="O560">
        <v>96</v>
      </c>
      <c r="P560" t="s">
        <v>53</v>
      </c>
      <c r="Q560" t="s">
        <v>41</v>
      </c>
      <c r="R560" t="s">
        <v>35</v>
      </c>
      <c r="S560">
        <v>2023</v>
      </c>
      <c r="T560" t="s">
        <v>36</v>
      </c>
      <c r="U560">
        <v>23176</v>
      </c>
      <c r="V560">
        <v>16.12</v>
      </c>
      <c r="W560">
        <v>81.569999999999993</v>
      </c>
      <c r="X560">
        <v>76.12</v>
      </c>
      <c r="Y560">
        <v>89.34</v>
      </c>
    </row>
    <row r="561" spans="1:25" x14ac:dyDescent="0.3">
      <c r="A561" t="s">
        <v>192</v>
      </c>
      <c r="B561" t="str">
        <f t="shared" si="8"/>
        <v>Jun</v>
      </c>
      <c r="C561" t="s">
        <v>60</v>
      </c>
      <c r="D561" t="s">
        <v>61</v>
      </c>
      <c r="E561">
        <v>245808606415.84</v>
      </c>
      <c r="F561">
        <v>36561.370000000003</v>
      </c>
      <c r="G561">
        <v>27501059906.540001</v>
      </c>
      <c r="H561">
        <v>1232914</v>
      </c>
      <c r="I561">
        <v>3824448</v>
      </c>
      <c r="J561">
        <v>3934844</v>
      </c>
      <c r="K561">
        <v>33.299999999999997</v>
      </c>
      <c r="L561">
        <v>0.13</v>
      </c>
      <c r="M561">
        <v>7.7</v>
      </c>
      <c r="N561">
        <v>-9.94</v>
      </c>
      <c r="O561">
        <v>104</v>
      </c>
      <c r="P561" t="s">
        <v>46</v>
      </c>
      <c r="Q561" t="s">
        <v>28</v>
      </c>
      <c r="R561" t="s">
        <v>35</v>
      </c>
      <c r="S561">
        <v>2022</v>
      </c>
      <c r="T561" t="s">
        <v>30</v>
      </c>
      <c r="U561">
        <v>31354</v>
      </c>
      <c r="V561">
        <v>22.02</v>
      </c>
      <c r="W561">
        <v>25.97</v>
      </c>
      <c r="X561">
        <v>94.25</v>
      </c>
      <c r="Y561">
        <v>62.73</v>
      </c>
    </row>
    <row r="562" spans="1:25" x14ac:dyDescent="0.3">
      <c r="A562" t="s">
        <v>208</v>
      </c>
      <c r="B562" t="str">
        <f t="shared" si="8"/>
        <v>Jan</v>
      </c>
      <c r="C562" t="s">
        <v>25</v>
      </c>
      <c r="D562" t="s">
        <v>26</v>
      </c>
      <c r="E562">
        <v>248674252215.92001</v>
      </c>
      <c r="F562">
        <v>69582.64</v>
      </c>
      <c r="G562">
        <v>42364271959.949997</v>
      </c>
      <c r="H562">
        <v>14792443</v>
      </c>
      <c r="I562">
        <v>18591015</v>
      </c>
      <c r="J562">
        <v>19059655</v>
      </c>
      <c r="K562">
        <v>26.22</v>
      </c>
      <c r="L562">
        <v>-2.09</v>
      </c>
      <c r="M562">
        <v>-5.88</v>
      </c>
      <c r="N562">
        <v>22.41</v>
      </c>
      <c r="O562">
        <v>144</v>
      </c>
      <c r="P562" t="s">
        <v>51</v>
      </c>
      <c r="Q562" t="s">
        <v>28</v>
      </c>
      <c r="R562" t="s">
        <v>64</v>
      </c>
      <c r="S562">
        <v>2014</v>
      </c>
      <c r="T562" t="s">
        <v>30</v>
      </c>
      <c r="U562">
        <v>60022</v>
      </c>
      <c r="V562">
        <v>38.49</v>
      </c>
      <c r="W562">
        <v>28.29</v>
      </c>
      <c r="X562">
        <v>84.36</v>
      </c>
      <c r="Y562">
        <v>84.21</v>
      </c>
    </row>
    <row r="563" spans="1:25" x14ac:dyDescent="0.3">
      <c r="A563" t="s">
        <v>361</v>
      </c>
      <c r="B563" t="str">
        <f t="shared" si="8"/>
        <v>Jun</v>
      </c>
      <c r="C563" t="s">
        <v>90</v>
      </c>
      <c r="D563" t="s">
        <v>91</v>
      </c>
      <c r="E563">
        <v>208241839378.64001</v>
      </c>
      <c r="F563">
        <v>45861.8</v>
      </c>
      <c r="G563">
        <v>11497216818.610001</v>
      </c>
      <c r="H563">
        <v>15899054</v>
      </c>
      <c r="I563">
        <v>17348852</v>
      </c>
      <c r="J563">
        <v>18010936</v>
      </c>
      <c r="K563">
        <v>41.86</v>
      </c>
      <c r="L563">
        <v>-3.84</v>
      </c>
      <c r="M563">
        <v>-18.78</v>
      </c>
      <c r="N563">
        <v>15.86</v>
      </c>
      <c r="O563">
        <v>69</v>
      </c>
      <c r="P563" t="s">
        <v>51</v>
      </c>
      <c r="Q563" t="s">
        <v>34</v>
      </c>
      <c r="R563" t="s">
        <v>42</v>
      </c>
      <c r="S563">
        <v>2014</v>
      </c>
      <c r="T563" t="s">
        <v>30</v>
      </c>
      <c r="U563">
        <v>40040</v>
      </c>
      <c r="V563">
        <v>14.23</v>
      </c>
      <c r="W563">
        <v>80.260000000000005</v>
      </c>
      <c r="X563">
        <v>35.549999999999997</v>
      </c>
      <c r="Y563">
        <v>15.45</v>
      </c>
    </row>
    <row r="564" spans="1:25" x14ac:dyDescent="0.3">
      <c r="A564" t="s">
        <v>296</v>
      </c>
      <c r="B564" t="str">
        <f t="shared" si="8"/>
        <v>Jan</v>
      </c>
      <c r="C564" t="s">
        <v>55</v>
      </c>
      <c r="D564" t="s">
        <v>56</v>
      </c>
      <c r="E564">
        <v>221602447326.79999</v>
      </c>
      <c r="F564">
        <v>42301.120000000003</v>
      </c>
      <c r="G564">
        <v>10368793535.48</v>
      </c>
      <c r="H564">
        <v>7245872</v>
      </c>
      <c r="I564">
        <v>8769617</v>
      </c>
      <c r="J564">
        <v>9265165</v>
      </c>
      <c r="K564">
        <v>5.94</v>
      </c>
      <c r="L564">
        <v>-0.93</v>
      </c>
      <c r="M564">
        <v>7.8</v>
      </c>
      <c r="N564">
        <v>29.86</v>
      </c>
      <c r="O564">
        <v>7</v>
      </c>
      <c r="P564" t="s">
        <v>40</v>
      </c>
      <c r="Q564" t="s">
        <v>41</v>
      </c>
      <c r="R564" t="s">
        <v>35</v>
      </c>
      <c r="S564">
        <v>2023</v>
      </c>
      <c r="T564" t="s">
        <v>58</v>
      </c>
      <c r="U564">
        <v>4411</v>
      </c>
      <c r="V564">
        <v>89.98</v>
      </c>
      <c r="W564">
        <v>52.02</v>
      </c>
      <c r="X564">
        <v>25.07</v>
      </c>
      <c r="Y564">
        <v>54.02</v>
      </c>
    </row>
    <row r="565" spans="1:25" x14ac:dyDescent="0.3">
      <c r="A565" t="s">
        <v>343</v>
      </c>
      <c r="B565" t="str">
        <f t="shared" si="8"/>
        <v>Feb</v>
      </c>
      <c r="C565" t="s">
        <v>44</v>
      </c>
      <c r="D565" t="s">
        <v>45</v>
      </c>
      <c r="E565">
        <v>602725942802.02002</v>
      </c>
      <c r="F565">
        <v>2206.9699999999998</v>
      </c>
      <c r="G565">
        <v>30851677532.299999</v>
      </c>
      <c r="H565">
        <v>4841110</v>
      </c>
      <c r="I565">
        <v>9394651</v>
      </c>
      <c r="J565">
        <v>9920110</v>
      </c>
      <c r="K565">
        <v>53.08</v>
      </c>
      <c r="L565">
        <v>0.85</v>
      </c>
      <c r="M565">
        <v>-16.63</v>
      </c>
      <c r="N565">
        <v>20.83</v>
      </c>
      <c r="O565">
        <v>51</v>
      </c>
      <c r="P565" t="s">
        <v>53</v>
      </c>
      <c r="Q565" t="s">
        <v>28</v>
      </c>
      <c r="R565" t="s">
        <v>29</v>
      </c>
      <c r="S565">
        <v>2019</v>
      </c>
      <c r="T565" t="s">
        <v>36</v>
      </c>
      <c r="U565">
        <v>42451</v>
      </c>
      <c r="V565">
        <v>12.55</v>
      </c>
      <c r="W565">
        <v>27.82</v>
      </c>
      <c r="X565">
        <v>11.92</v>
      </c>
      <c r="Y565">
        <v>57.79</v>
      </c>
    </row>
    <row r="566" spans="1:25" x14ac:dyDescent="0.3">
      <c r="A566" t="s">
        <v>310</v>
      </c>
      <c r="B566" t="str">
        <f t="shared" si="8"/>
        <v>Jan</v>
      </c>
      <c r="C566" t="s">
        <v>78</v>
      </c>
      <c r="D566" t="s">
        <v>79</v>
      </c>
      <c r="E566">
        <v>93584276563.259995</v>
      </c>
      <c r="F566">
        <v>49232.62</v>
      </c>
      <c r="G566">
        <v>6169922969.3299999</v>
      </c>
      <c r="H566">
        <v>16756227</v>
      </c>
      <c r="I566">
        <v>19543205</v>
      </c>
      <c r="J566">
        <v>20307640</v>
      </c>
      <c r="K566">
        <v>26.02</v>
      </c>
      <c r="L566">
        <v>0.54</v>
      </c>
      <c r="M566">
        <v>-8.08</v>
      </c>
      <c r="N566">
        <v>-2.36</v>
      </c>
      <c r="O566">
        <v>172</v>
      </c>
      <c r="P566" t="s">
        <v>51</v>
      </c>
      <c r="Q566" t="s">
        <v>34</v>
      </c>
      <c r="R566" t="s">
        <v>35</v>
      </c>
      <c r="S566">
        <v>2018</v>
      </c>
      <c r="T566" t="s">
        <v>36</v>
      </c>
      <c r="U566">
        <v>39096</v>
      </c>
      <c r="V566">
        <v>93.43</v>
      </c>
      <c r="W566">
        <v>71.44</v>
      </c>
      <c r="X566">
        <v>72.319999999999993</v>
      </c>
      <c r="Y566">
        <v>54.98</v>
      </c>
    </row>
    <row r="567" spans="1:25" x14ac:dyDescent="0.3">
      <c r="A567" t="s">
        <v>258</v>
      </c>
      <c r="B567" t="str">
        <f t="shared" si="8"/>
        <v>Mar</v>
      </c>
      <c r="C567" t="s">
        <v>68</v>
      </c>
      <c r="D567" t="s">
        <v>69</v>
      </c>
      <c r="E567">
        <v>567971926145.18005</v>
      </c>
      <c r="F567">
        <v>57678.17</v>
      </c>
      <c r="G567">
        <v>35618625891.290001</v>
      </c>
      <c r="H567">
        <v>8138813</v>
      </c>
      <c r="I567">
        <v>8835081</v>
      </c>
      <c r="J567">
        <v>9150949</v>
      </c>
      <c r="K567">
        <v>38.89</v>
      </c>
      <c r="L567">
        <v>-2.25</v>
      </c>
      <c r="M567">
        <v>16.03</v>
      </c>
      <c r="N567">
        <v>-38.950000000000003</v>
      </c>
      <c r="O567">
        <v>56</v>
      </c>
      <c r="P567" t="s">
        <v>46</v>
      </c>
      <c r="Q567" t="s">
        <v>34</v>
      </c>
      <c r="R567" t="s">
        <v>64</v>
      </c>
      <c r="S567">
        <v>2023</v>
      </c>
      <c r="T567" t="s">
        <v>36</v>
      </c>
      <c r="U567">
        <v>3682</v>
      </c>
      <c r="V567">
        <v>26.63</v>
      </c>
      <c r="W567">
        <v>44.65</v>
      </c>
      <c r="X567">
        <v>44.47</v>
      </c>
      <c r="Y567">
        <v>31.45</v>
      </c>
    </row>
    <row r="568" spans="1:25" x14ac:dyDescent="0.3">
      <c r="A568" t="s">
        <v>362</v>
      </c>
      <c r="B568" t="str">
        <f t="shared" si="8"/>
        <v>Sep</v>
      </c>
      <c r="C568" t="s">
        <v>32</v>
      </c>
      <c r="D568" t="s">
        <v>33</v>
      </c>
      <c r="E568">
        <v>395580320826.40997</v>
      </c>
      <c r="F568">
        <v>6588.03</v>
      </c>
      <c r="G568">
        <v>2019792375.3399999</v>
      </c>
      <c r="H568">
        <v>9680442</v>
      </c>
      <c r="I568">
        <v>12189298</v>
      </c>
      <c r="J568">
        <v>12576495</v>
      </c>
      <c r="K568">
        <v>47.37</v>
      </c>
      <c r="L568">
        <v>0.69</v>
      </c>
      <c r="M568">
        <v>8.67</v>
      </c>
      <c r="N568">
        <v>29.21</v>
      </c>
      <c r="O568">
        <v>21</v>
      </c>
      <c r="P568" t="s">
        <v>46</v>
      </c>
      <c r="Q568" t="s">
        <v>28</v>
      </c>
      <c r="R568" t="s">
        <v>35</v>
      </c>
      <c r="S568">
        <v>2013</v>
      </c>
      <c r="T568" t="s">
        <v>36</v>
      </c>
      <c r="U568">
        <v>40196</v>
      </c>
      <c r="V568">
        <v>66.91</v>
      </c>
      <c r="W568">
        <v>93.69</v>
      </c>
      <c r="X568">
        <v>33.08</v>
      </c>
      <c r="Y568">
        <v>16.25</v>
      </c>
    </row>
    <row r="569" spans="1:25" x14ac:dyDescent="0.3">
      <c r="A569" t="s">
        <v>270</v>
      </c>
      <c r="B569" t="str">
        <f t="shared" si="8"/>
        <v>May</v>
      </c>
      <c r="C569" t="s">
        <v>49</v>
      </c>
      <c r="D569" t="s">
        <v>50</v>
      </c>
      <c r="E569">
        <v>524238470712.07001</v>
      </c>
      <c r="F569">
        <v>20183.349999999999</v>
      </c>
      <c r="G569">
        <v>31493585639.799999</v>
      </c>
      <c r="H569">
        <v>12241638</v>
      </c>
      <c r="I569">
        <v>14628446</v>
      </c>
      <c r="J569">
        <v>15218032</v>
      </c>
      <c r="K569">
        <v>50.19</v>
      </c>
      <c r="L569">
        <v>-4.09</v>
      </c>
      <c r="M569">
        <v>4.63</v>
      </c>
      <c r="N569">
        <v>33.450000000000003</v>
      </c>
      <c r="O569">
        <v>28</v>
      </c>
      <c r="P569" t="s">
        <v>46</v>
      </c>
      <c r="Q569" t="s">
        <v>41</v>
      </c>
      <c r="R569" t="s">
        <v>35</v>
      </c>
      <c r="S569">
        <v>2015</v>
      </c>
      <c r="T569" t="s">
        <v>36</v>
      </c>
      <c r="U569">
        <v>5202</v>
      </c>
      <c r="V569">
        <v>21.52</v>
      </c>
      <c r="W569">
        <v>25.25</v>
      </c>
      <c r="X569">
        <v>23.93</v>
      </c>
      <c r="Y569">
        <v>24.64</v>
      </c>
    </row>
    <row r="570" spans="1:25" x14ac:dyDescent="0.3">
      <c r="A570" t="s">
        <v>157</v>
      </c>
      <c r="B570" t="str">
        <f t="shared" si="8"/>
        <v>Jan</v>
      </c>
      <c r="C570" t="s">
        <v>78</v>
      </c>
      <c r="D570" t="s">
        <v>79</v>
      </c>
      <c r="E570">
        <v>680722179378.13</v>
      </c>
      <c r="F570">
        <v>34365.01</v>
      </c>
      <c r="G570">
        <v>2424922491.5599999</v>
      </c>
      <c r="H570">
        <v>18425814</v>
      </c>
      <c r="I570">
        <v>21039263</v>
      </c>
      <c r="J570">
        <v>21084216</v>
      </c>
      <c r="K570">
        <v>40.98</v>
      </c>
      <c r="L570">
        <v>-2.95</v>
      </c>
      <c r="M570">
        <v>0.43</v>
      </c>
      <c r="N570">
        <v>38.43</v>
      </c>
      <c r="O570">
        <v>162</v>
      </c>
      <c r="P570" t="s">
        <v>27</v>
      </c>
      <c r="Q570" t="s">
        <v>47</v>
      </c>
      <c r="R570" t="s">
        <v>35</v>
      </c>
      <c r="S570">
        <v>2011</v>
      </c>
      <c r="T570" t="s">
        <v>36</v>
      </c>
      <c r="U570">
        <v>47153</v>
      </c>
      <c r="V570">
        <v>89.7</v>
      </c>
      <c r="W570">
        <v>43.08</v>
      </c>
      <c r="X570">
        <v>58.94</v>
      </c>
      <c r="Y570">
        <v>85.94</v>
      </c>
    </row>
    <row r="571" spans="1:25" x14ac:dyDescent="0.3">
      <c r="A571" t="s">
        <v>73</v>
      </c>
      <c r="B571" t="str">
        <f t="shared" si="8"/>
        <v>May</v>
      </c>
      <c r="C571" t="s">
        <v>90</v>
      </c>
      <c r="D571" t="s">
        <v>91</v>
      </c>
      <c r="E571">
        <v>81642945551.410004</v>
      </c>
      <c r="F571">
        <v>32341.73</v>
      </c>
      <c r="G571">
        <v>15184015352.24</v>
      </c>
      <c r="H571">
        <v>15523433</v>
      </c>
      <c r="I571">
        <v>19443437</v>
      </c>
      <c r="J571">
        <v>19864935</v>
      </c>
      <c r="K571">
        <v>28.99</v>
      </c>
      <c r="L571">
        <v>2.41</v>
      </c>
      <c r="M571">
        <v>-12.24</v>
      </c>
      <c r="N571">
        <v>17.690000000000001</v>
      </c>
      <c r="O571">
        <v>80</v>
      </c>
      <c r="P571" t="s">
        <v>46</v>
      </c>
      <c r="Q571" t="s">
        <v>34</v>
      </c>
      <c r="R571" t="s">
        <v>74</v>
      </c>
      <c r="S571">
        <v>2019</v>
      </c>
      <c r="T571" t="s">
        <v>30</v>
      </c>
      <c r="U571">
        <v>21721</v>
      </c>
      <c r="V571">
        <v>76.349999999999994</v>
      </c>
      <c r="W571">
        <v>26.22</v>
      </c>
      <c r="X571">
        <v>33.090000000000003</v>
      </c>
      <c r="Y571">
        <v>27.91</v>
      </c>
    </row>
    <row r="572" spans="1:25" x14ac:dyDescent="0.3">
      <c r="A572" t="s">
        <v>254</v>
      </c>
      <c r="B572" t="str">
        <f t="shared" si="8"/>
        <v>Oct</v>
      </c>
      <c r="C572" t="s">
        <v>68</v>
      </c>
      <c r="D572" t="s">
        <v>69</v>
      </c>
      <c r="E572">
        <v>756190308965.19995</v>
      </c>
      <c r="F572">
        <v>10199.92</v>
      </c>
      <c r="G572">
        <v>34766983267.790001</v>
      </c>
      <c r="H572">
        <v>16008674</v>
      </c>
      <c r="I572">
        <v>16625701</v>
      </c>
      <c r="J572">
        <v>17090732</v>
      </c>
      <c r="K572">
        <v>33.659999999999997</v>
      </c>
      <c r="L572">
        <v>-3.31</v>
      </c>
      <c r="M572">
        <v>5.66</v>
      </c>
      <c r="N572">
        <v>-1.71</v>
      </c>
      <c r="O572">
        <v>180</v>
      </c>
      <c r="P572" t="s">
        <v>40</v>
      </c>
      <c r="Q572" t="s">
        <v>47</v>
      </c>
      <c r="R572" t="s">
        <v>64</v>
      </c>
      <c r="S572">
        <v>2012</v>
      </c>
      <c r="T572" t="s">
        <v>36</v>
      </c>
      <c r="U572">
        <v>63968</v>
      </c>
      <c r="V572">
        <v>23.25</v>
      </c>
      <c r="W572">
        <v>93.58</v>
      </c>
      <c r="X572">
        <v>33.950000000000003</v>
      </c>
      <c r="Y572">
        <v>22.44</v>
      </c>
    </row>
    <row r="573" spans="1:25" x14ac:dyDescent="0.3">
      <c r="A573" t="s">
        <v>158</v>
      </c>
      <c r="B573" t="str">
        <f t="shared" si="8"/>
        <v>Jul</v>
      </c>
      <c r="C573" t="s">
        <v>38</v>
      </c>
      <c r="D573" t="s">
        <v>39</v>
      </c>
      <c r="E573">
        <v>825852101530.85999</v>
      </c>
      <c r="F573">
        <v>45153.89</v>
      </c>
      <c r="G573">
        <v>16307442606.040001</v>
      </c>
      <c r="H573">
        <v>18797880</v>
      </c>
      <c r="I573">
        <v>18999846</v>
      </c>
      <c r="J573">
        <v>19336654</v>
      </c>
      <c r="K573">
        <v>47.28</v>
      </c>
      <c r="L573">
        <v>4.92</v>
      </c>
      <c r="M573">
        <v>-8.15</v>
      </c>
      <c r="N573">
        <v>-4.2300000000000004</v>
      </c>
      <c r="O573">
        <v>151</v>
      </c>
      <c r="P573" t="s">
        <v>46</v>
      </c>
      <c r="Q573" t="s">
        <v>57</v>
      </c>
      <c r="R573" t="s">
        <v>42</v>
      </c>
      <c r="S573">
        <v>2015</v>
      </c>
      <c r="T573" t="s">
        <v>36</v>
      </c>
      <c r="U573">
        <v>24126</v>
      </c>
      <c r="V573">
        <v>26.1</v>
      </c>
      <c r="W573">
        <v>93.19</v>
      </c>
      <c r="X573">
        <v>53.92</v>
      </c>
      <c r="Y573">
        <v>62.87</v>
      </c>
    </row>
    <row r="574" spans="1:25" x14ac:dyDescent="0.3">
      <c r="A574" t="s">
        <v>332</v>
      </c>
      <c r="B574" t="str">
        <f t="shared" si="8"/>
        <v>Aug</v>
      </c>
      <c r="C574" t="s">
        <v>60</v>
      </c>
      <c r="D574" t="s">
        <v>61</v>
      </c>
      <c r="E574">
        <v>412840314476.09003</v>
      </c>
      <c r="F574">
        <v>34569.370000000003</v>
      </c>
      <c r="G574">
        <v>5632013275.1400003</v>
      </c>
      <c r="H574">
        <v>17338420</v>
      </c>
      <c r="I574">
        <v>22181922</v>
      </c>
      <c r="J574">
        <v>22681802</v>
      </c>
      <c r="K574">
        <v>49.16</v>
      </c>
      <c r="L574">
        <v>-4.75</v>
      </c>
      <c r="M574">
        <v>-8.86</v>
      </c>
      <c r="N574">
        <v>1.49</v>
      </c>
      <c r="O574">
        <v>175</v>
      </c>
      <c r="P574" t="s">
        <v>40</v>
      </c>
      <c r="Q574" t="s">
        <v>57</v>
      </c>
      <c r="R574" t="s">
        <v>35</v>
      </c>
      <c r="S574">
        <v>2018</v>
      </c>
      <c r="T574" t="s">
        <v>30</v>
      </c>
      <c r="U574">
        <v>35057</v>
      </c>
      <c r="V574">
        <v>55.47</v>
      </c>
      <c r="W574">
        <v>72.91</v>
      </c>
      <c r="X574">
        <v>43.94</v>
      </c>
      <c r="Y574">
        <v>48.57</v>
      </c>
    </row>
    <row r="575" spans="1:25" x14ac:dyDescent="0.3">
      <c r="A575" t="s">
        <v>96</v>
      </c>
      <c r="B575" t="str">
        <f t="shared" si="8"/>
        <v>Jul</v>
      </c>
      <c r="C575" t="s">
        <v>38</v>
      </c>
      <c r="D575" t="s">
        <v>39</v>
      </c>
      <c r="E575">
        <v>844801612651.15002</v>
      </c>
      <c r="F575">
        <v>65805.09</v>
      </c>
      <c r="G575">
        <v>43415463474.849998</v>
      </c>
      <c r="H575">
        <v>4662700</v>
      </c>
      <c r="I575">
        <v>9554263</v>
      </c>
      <c r="J575">
        <v>9765906</v>
      </c>
      <c r="K575">
        <v>46.59</v>
      </c>
      <c r="L575">
        <v>4.5</v>
      </c>
      <c r="M575">
        <v>1.08</v>
      </c>
      <c r="N575">
        <v>-0.99</v>
      </c>
      <c r="O575">
        <v>155</v>
      </c>
      <c r="P575" t="s">
        <v>51</v>
      </c>
      <c r="Q575" t="s">
        <v>47</v>
      </c>
      <c r="R575" t="s">
        <v>35</v>
      </c>
      <c r="S575">
        <v>2012</v>
      </c>
      <c r="T575" t="s">
        <v>36</v>
      </c>
      <c r="U575">
        <v>42626</v>
      </c>
      <c r="V575">
        <v>22.58</v>
      </c>
      <c r="W575">
        <v>51.72</v>
      </c>
      <c r="X575">
        <v>12.45</v>
      </c>
      <c r="Y575">
        <v>12.79</v>
      </c>
    </row>
    <row r="576" spans="1:25" x14ac:dyDescent="0.3">
      <c r="A576" t="s">
        <v>343</v>
      </c>
      <c r="B576" t="str">
        <f t="shared" si="8"/>
        <v>Feb</v>
      </c>
      <c r="C576" t="s">
        <v>38</v>
      </c>
      <c r="D576" t="s">
        <v>39</v>
      </c>
      <c r="E576">
        <v>552474449279.66003</v>
      </c>
      <c r="F576">
        <v>66163.13</v>
      </c>
      <c r="G576">
        <v>47163787476.370003</v>
      </c>
      <c r="H576">
        <v>1134645</v>
      </c>
      <c r="I576">
        <v>3899358</v>
      </c>
      <c r="J576">
        <v>4610743</v>
      </c>
      <c r="K576">
        <v>15.99</v>
      </c>
      <c r="L576">
        <v>-3.77</v>
      </c>
      <c r="M576">
        <v>-19.75</v>
      </c>
      <c r="N576">
        <v>4.51</v>
      </c>
      <c r="O576">
        <v>132</v>
      </c>
      <c r="P576" t="s">
        <v>40</v>
      </c>
      <c r="Q576" t="s">
        <v>41</v>
      </c>
      <c r="R576" t="s">
        <v>42</v>
      </c>
      <c r="S576">
        <v>2011</v>
      </c>
      <c r="T576" t="s">
        <v>36</v>
      </c>
      <c r="U576">
        <v>52628</v>
      </c>
      <c r="V576">
        <v>67.989999999999995</v>
      </c>
      <c r="W576">
        <v>93.47</v>
      </c>
      <c r="X576">
        <v>28.31</v>
      </c>
      <c r="Y576">
        <v>81.63</v>
      </c>
    </row>
    <row r="577" spans="1:25" x14ac:dyDescent="0.3">
      <c r="A577" t="s">
        <v>197</v>
      </c>
      <c r="B577" t="str">
        <f t="shared" si="8"/>
        <v>Apr</v>
      </c>
      <c r="C577" t="s">
        <v>44</v>
      </c>
      <c r="D577" t="s">
        <v>45</v>
      </c>
      <c r="E577">
        <v>774984113953.96997</v>
      </c>
      <c r="F577">
        <v>62542.400000000001</v>
      </c>
      <c r="G577">
        <v>4942585793.5900002</v>
      </c>
      <c r="H577">
        <v>13265752</v>
      </c>
      <c r="I577">
        <v>14499581</v>
      </c>
      <c r="J577">
        <v>14823976</v>
      </c>
      <c r="K577">
        <v>17.86</v>
      </c>
      <c r="L577">
        <v>-0.83</v>
      </c>
      <c r="M577">
        <v>-1.65</v>
      </c>
      <c r="N577">
        <v>11.39</v>
      </c>
      <c r="O577">
        <v>57</v>
      </c>
      <c r="P577" t="s">
        <v>53</v>
      </c>
      <c r="Q577" t="s">
        <v>41</v>
      </c>
      <c r="R577" t="s">
        <v>64</v>
      </c>
      <c r="S577">
        <v>2015</v>
      </c>
      <c r="T577" t="s">
        <v>36</v>
      </c>
      <c r="U577">
        <v>55494</v>
      </c>
      <c r="V577">
        <v>23.89</v>
      </c>
      <c r="W577">
        <v>53.79</v>
      </c>
      <c r="X577">
        <v>24.14</v>
      </c>
      <c r="Y577">
        <v>69.930000000000007</v>
      </c>
    </row>
    <row r="578" spans="1:25" x14ac:dyDescent="0.3">
      <c r="A578" t="s">
        <v>165</v>
      </c>
      <c r="B578" t="str">
        <f t="shared" ref="B578:B641" si="9">TEXT(A578,"MMM")</f>
        <v>Jul</v>
      </c>
      <c r="C578" t="s">
        <v>44</v>
      </c>
      <c r="D578" t="s">
        <v>45</v>
      </c>
      <c r="E578">
        <v>520278502013.38</v>
      </c>
      <c r="F578">
        <v>18381.919999999998</v>
      </c>
      <c r="G578">
        <v>33552770623.25</v>
      </c>
      <c r="H578">
        <v>3333435</v>
      </c>
      <c r="I578">
        <v>7701896</v>
      </c>
      <c r="J578">
        <v>7940432</v>
      </c>
      <c r="K578">
        <v>20.95</v>
      </c>
      <c r="L578">
        <v>3.77</v>
      </c>
      <c r="M578">
        <v>-10.1</v>
      </c>
      <c r="N578">
        <v>18.84</v>
      </c>
      <c r="O578">
        <v>141</v>
      </c>
      <c r="P578" t="s">
        <v>27</v>
      </c>
      <c r="Q578" t="s">
        <v>47</v>
      </c>
      <c r="R578" t="s">
        <v>35</v>
      </c>
      <c r="S578">
        <v>2015</v>
      </c>
      <c r="T578" t="s">
        <v>36</v>
      </c>
      <c r="U578">
        <v>41273</v>
      </c>
      <c r="V578">
        <v>73.239999999999995</v>
      </c>
      <c r="W578">
        <v>90.45</v>
      </c>
      <c r="X578">
        <v>80</v>
      </c>
      <c r="Y578">
        <v>55.25</v>
      </c>
    </row>
    <row r="579" spans="1:25" x14ac:dyDescent="0.3">
      <c r="A579" t="s">
        <v>360</v>
      </c>
      <c r="B579" t="str">
        <f t="shared" si="9"/>
        <v>Mar</v>
      </c>
      <c r="C579" t="s">
        <v>68</v>
      </c>
      <c r="D579" t="s">
        <v>69</v>
      </c>
      <c r="E579">
        <v>813670523639.84998</v>
      </c>
      <c r="F579">
        <v>38146.550000000003</v>
      </c>
      <c r="G579">
        <v>43989792414.07</v>
      </c>
      <c r="H579">
        <v>17311988</v>
      </c>
      <c r="I579">
        <v>19686757</v>
      </c>
      <c r="J579">
        <v>20420780</v>
      </c>
      <c r="K579">
        <v>41.21</v>
      </c>
      <c r="L579">
        <v>3.44</v>
      </c>
      <c r="M579">
        <v>9</v>
      </c>
      <c r="N579">
        <v>-12.24</v>
      </c>
      <c r="O579">
        <v>44</v>
      </c>
      <c r="P579" t="s">
        <v>53</v>
      </c>
      <c r="Q579" t="s">
        <v>28</v>
      </c>
      <c r="R579" t="s">
        <v>42</v>
      </c>
      <c r="S579">
        <v>2018</v>
      </c>
      <c r="T579" t="s">
        <v>36</v>
      </c>
      <c r="U579">
        <v>4555</v>
      </c>
      <c r="V579">
        <v>67.61</v>
      </c>
      <c r="W579">
        <v>95.05</v>
      </c>
      <c r="X579">
        <v>31.38</v>
      </c>
      <c r="Y579">
        <v>10.33</v>
      </c>
    </row>
    <row r="580" spans="1:25" x14ac:dyDescent="0.3">
      <c r="A580" t="s">
        <v>267</v>
      </c>
      <c r="B580" t="str">
        <f t="shared" si="9"/>
        <v>Jul</v>
      </c>
      <c r="C580" t="s">
        <v>25</v>
      </c>
      <c r="D580" t="s">
        <v>26</v>
      </c>
      <c r="E580">
        <v>573046482322.67004</v>
      </c>
      <c r="F580">
        <v>22275.83</v>
      </c>
      <c r="G580">
        <v>36472499451.760002</v>
      </c>
      <c r="H580">
        <v>14214873</v>
      </c>
      <c r="I580">
        <v>15074381</v>
      </c>
      <c r="J580">
        <v>16005981</v>
      </c>
      <c r="K580">
        <v>52.88</v>
      </c>
      <c r="L580">
        <v>-3.94</v>
      </c>
      <c r="M580">
        <v>0.01</v>
      </c>
      <c r="N580">
        <v>5.37</v>
      </c>
      <c r="O580">
        <v>137</v>
      </c>
      <c r="P580" t="s">
        <v>27</v>
      </c>
      <c r="Q580" t="s">
        <v>47</v>
      </c>
      <c r="R580" t="s">
        <v>74</v>
      </c>
      <c r="S580">
        <v>2022</v>
      </c>
      <c r="T580" t="s">
        <v>30</v>
      </c>
      <c r="U580">
        <v>49105</v>
      </c>
      <c r="V580">
        <v>82.56</v>
      </c>
      <c r="W580">
        <v>65.73</v>
      </c>
      <c r="X580">
        <v>43.56</v>
      </c>
      <c r="Y580">
        <v>21.45</v>
      </c>
    </row>
    <row r="581" spans="1:25" x14ac:dyDescent="0.3">
      <c r="A581" t="s">
        <v>208</v>
      </c>
      <c r="B581" t="str">
        <f t="shared" si="9"/>
        <v>Jan</v>
      </c>
      <c r="C581" t="s">
        <v>68</v>
      </c>
      <c r="D581" t="s">
        <v>69</v>
      </c>
      <c r="E581">
        <v>428575295051.03998</v>
      </c>
      <c r="F581">
        <v>58001.86</v>
      </c>
      <c r="G581">
        <v>43816627670.900002</v>
      </c>
      <c r="H581">
        <v>14415080</v>
      </c>
      <c r="I581">
        <v>19043538</v>
      </c>
      <c r="J581">
        <v>19456989</v>
      </c>
      <c r="K581">
        <v>29.47</v>
      </c>
      <c r="L581">
        <v>-3.68</v>
      </c>
      <c r="M581">
        <v>4.79</v>
      </c>
      <c r="N581">
        <v>-2.59</v>
      </c>
      <c r="O581">
        <v>198</v>
      </c>
      <c r="P581" t="s">
        <v>51</v>
      </c>
      <c r="Q581" t="s">
        <v>41</v>
      </c>
      <c r="R581" t="s">
        <v>74</v>
      </c>
      <c r="S581">
        <v>2010</v>
      </c>
      <c r="T581" t="s">
        <v>36</v>
      </c>
      <c r="U581">
        <v>15325</v>
      </c>
      <c r="V581">
        <v>85.28</v>
      </c>
      <c r="W581">
        <v>89.12</v>
      </c>
      <c r="X581">
        <v>87.32</v>
      </c>
      <c r="Y581">
        <v>14.61</v>
      </c>
    </row>
    <row r="582" spans="1:25" x14ac:dyDescent="0.3">
      <c r="A582" t="s">
        <v>363</v>
      </c>
      <c r="B582" t="str">
        <f t="shared" si="9"/>
        <v>Apr</v>
      </c>
      <c r="C582" t="s">
        <v>90</v>
      </c>
      <c r="D582" t="s">
        <v>91</v>
      </c>
      <c r="E582">
        <v>151157239991.20999</v>
      </c>
      <c r="F582">
        <v>22263.63</v>
      </c>
      <c r="G582">
        <v>2778167519.5799999</v>
      </c>
      <c r="H582">
        <v>12546921</v>
      </c>
      <c r="I582">
        <v>13274244</v>
      </c>
      <c r="J582">
        <v>14120597</v>
      </c>
      <c r="K582">
        <v>18.55</v>
      </c>
      <c r="L582">
        <v>0.39</v>
      </c>
      <c r="M582">
        <v>-0.85</v>
      </c>
      <c r="N582">
        <v>-14.27</v>
      </c>
      <c r="O582">
        <v>151</v>
      </c>
      <c r="P582" t="s">
        <v>27</v>
      </c>
      <c r="Q582" t="s">
        <v>34</v>
      </c>
      <c r="R582" t="s">
        <v>42</v>
      </c>
      <c r="S582">
        <v>2019</v>
      </c>
      <c r="T582" t="s">
        <v>30</v>
      </c>
      <c r="U582">
        <v>27921</v>
      </c>
      <c r="V582">
        <v>54.91</v>
      </c>
      <c r="W582">
        <v>86.05</v>
      </c>
      <c r="X582">
        <v>32.32</v>
      </c>
      <c r="Y582">
        <v>54.38</v>
      </c>
    </row>
    <row r="583" spans="1:25" x14ac:dyDescent="0.3">
      <c r="A583" t="s">
        <v>364</v>
      </c>
      <c r="B583" t="str">
        <f t="shared" si="9"/>
        <v>Sep</v>
      </c>
      <c r="C583" t="s">
        <v>38</v>
      </c>
      <c r="D583" t="s">
        <v>39</v>
      </c>
      <c r="E583">
        <v>202106413960.32999</v>
      </c>
      <c r="F583">
        <v>60875.19</v>
      </c>
      <c r="G583">
        <v>38924109135.440002</v>
      </c>
      <c r="H583">
        <v>8936748</v>
      </c>
      <c r="I583">
        <v>12774311</v>
      </c>
      <c r="J583">
        <v>13411528</v>
      </c>
      <c r="K583">
        <v>17.95</v>
      </c>
      <c r="L583">
        <v>-2.4500000000000002</v>
      </c>
      <c r="M583">
        <v>-0.03</v>
      </c>
      <c r="N583">
        <v>10</v>
      </c>
      <c r="O583">
        <v>73</v>
      </c>
      <c r="P583" t="s">
        <v>46</v>
      </c>
      <c r="Q583" t="s">
        <v>57</v>
      </c>
      <c r="R583" t="s">
        <v>29</v>
      </c>
      <c r="S583">
        <v>2016</v>
      </c>
      <c r="T583" t="s">
        <v>36</v>
      </c>
      <c r="U583">
        <v>5000</v>
      </c>
      <c r="V583">
        <v>36.380000000000003</v>
      </c>
      <c r="W583">
        <v>91.98</v>
      </c>
      <c r="X583">
        <v>74.03</v>
      </c>
      <c r="Y583">
        <v>26.65</v>
      </c>
    </row>
    <row r="584" spans="1:25" x14ac:dyDescent="0.3">
      <c r="A584" t="s">
        <v>24</v>
      </c>
      <c r="B584" t="str">
        <f t="shared" si="9"/>
        <v>Jul</v>
      </c>
      <c r="C584" t="s">
        <v>44</v>
      </c>
      <c r="D584" t="s">
        <v>45</v>
      </c>
      <c r="E584">
        <v>750281128181.52002</v>
      </c>
      <c r="F584">
        <v>17658.72</v>
      </c>
      <c r="G584">
        <v>46227134446.779999</v>
      </c>
      <c r="H584">
        <v>14119055</v>
      </c>
      <c r="I584">
        <v>14662372</v>
      </c>
      <c r="J584">
        <v>15003450</v>
      </c>
      <c r="K584">
        <v>27.55</v>
      </c>
      <c r="L584">
        <v>-1.64</v>
      </c>
      <c r="M584">
        <v>9.5</v>
      </c>
      <c r="N584">
        <v>36.409999999999997</v>
      </c>
      <c r="O584">
        <v>195</v>
      </c>
      <c r="P584" t="s">
        <v>27</v>
      </c>
      <c r="Q584" t="s">
        <v>41</v>
      </c>
      <c r="R584" t="s">
        <v>35</v>
      </c>
      <c r="S584">
        <v>2015</v>
      </c>
      <c r="T584" t="s">
        <v>36</v>
      </c>
      <c r="U584">
        <v>23604</v>
      </c>
      <c r="V584">
        <v>61.82</v>
      </c>
      <c r="W584">
        <v>48.07</v>
      </c>
      <c r="X584">
        <v>70.84</v>
      </c>
      <c r="Y584">
        <v>41.43</v>
      </c>
    </row>
    <row r="585" spans="1:25" x14ac:dyDescent="0.3">
      <c r="A585" t="s">
        <v>153</v>
      </c>
      <c r="B585" t="str">
        <f t="shared" si="9"/>
        <v>Jan</v>
      </c>
      <c r="C585" t="s">
        <v>90</v>
      </c>
      <c r="D585" t="s">
        <v>91</v>
      </c>
      <c r="E585">
        <v>175869342757.98999</v>
      </c>
      <c r="F585">
        <v>34870.370000000003</v>
      </c>
      <c r="G585">
        <v>44387505791.169998</v>
      </c>
      <c r="H585">
        <v>13970717</v>
      </c>
      <c r="I585">
        <v>14709085</v>
      </c>
      <c r="J585">
        <v>15458854</v>
      </c>
      <c r="K585">
        <v>16.57</v>
      </c>
      <c r="L585">
        <v>-4.41</v>
      </c>
      <c r="M585">
        <v>-2.99</v>
      </c>
      <c r="N585">
        <v>14.07</v>
      </c>
      <c r="O585">
        <v>10</v>
      </c>
      <c r="P585" t="s">
        <v>40</v>
      </c>
      <c r="Q585" t="s">
        <v>34</v>
      </c>
      <c r="R585" t="s">
        <v>74</v>
      </c>
      <c r="S585">
        <v>2011</v>
      </c>
      <c r="T585" t="s">
        <v>30</v>
      </c>
      <c r="U585">
        <v>37292</v>
      </c>
      <c r="V585">
        <v>44.46</v>
      </c>
      <c r="W585">
        <v>76.36</v>
      </c>
      <c r="X585">
        <v>63.64</v>
      </c>
      <c r="Y585">
        <v>79</v>
      </c>
    </row>
    <row r="586" spans="1:25" x14ac:dyDescent="0.3">
      <c r="A586" t="s">
        <v>31</v>
      </c>
      <c r="B586" t="str">
        <f t="shared" si="9"/>
        <v>Feb</v>
      </c>
      <c r="C586" t="s">
        <v>78</v>
      </c>
      <c r="D586" t="s">
        <v>79</v>
      </c>
      <c r="E586">
        <v>707767789330.52002</v>
      </c>
      <c r="F586">
        <v>8901.11</v>
      </c>
      <c r="G586">
        <v>39644596701.139999</v>
      </c>
      <c r="H586">
        <v>10401092</v>
      </c>
      <c r="I586">
        <v>10475915</v>
      </c>
      <c r="J586">
        <v>11462277</v>
      </c>
      <c r="K586">
        <v>42.66</v>
      </c>
      <c r="L586">
        <v>4.9800000000000004</v>
      </c>
      <c r="M586">
        <v>-0.71</v>
      </c>
      <c r="N586">
        <v>-26.59</v>
      </c>
      <c r="O586">
        <v>173</v>
      </c>
      <c r="P586" t="s">
        <v>27</v>
      </c>
      <c r="Q586" t="s">
        <v>41</v>
      </c>
      <c r="R586" t="s">
        <v>64</v>
      </c>
      <c r="S586">
        <v>2017</v>
      </c>
      <c r="T586" t="s">
        <v>36</v>
      </c>
      <c r="U586">
        <v>23755</v>
      </c>
      <c r="V586">
        <v>84.08</v>
      </c>
      <c r="W586">
        <v>92.87</v>
      </c>
      <c r="X586">
        <v>80.44</v>
      </c>
      <c r="Y586">
        <v>15.15</v>
      </c>
    </row>
    <row r="587" spans="1:25" x14ac:dyDescent="0.3">
      <c r="A587" t="s">
        <v>80</v>
      </c>
      <c r="B587" t="str">
        <f t="shared" si="9"/>
        <v>Oct</v>
      </c>
      <c r="C587" t="s">
        <v>90</v>
      </c>
      <c r="D587" t="s">
        <v>91</v>
      </c>
      <c r="E587">
        <v>20287246326.380001</v>
      </c>
      <c r="F587">
        <v>9415.7000000000007</v>
      </c>
      <c r="G587">
        <v>2958211773.6100001</v>
      </c>
      <c r="H587">
        <v>2036884</v>
      </c>
      <c r="I587">
        <v>3806964</v>
      </c>
      <c r="J587">
        <v>3955653</v>
      </c>
      <c r="K587">
        <v>41.59</v>
      </c>
      <c r="L587">
        <v>2.85</v>
      </c>
      <c r="M587">
        <v>0.37</v>
      </c>
      <c r="N587">
        <v>-21.98</v>
      </c>
      <c r="O587">
        <v>94</v>
      </c>
      <c r="P587" t="s">
        <v>46</v>
      </c>
      <c r="Q587" t="s">
        <v>41</v>
      </c>
      <c r="R587" t="s">
        <v>35</v>
      </c>
      <c r="S587">
        <v>2023</v>
      </c>
      <c r="T587" t="s">
        <v>30</v>
      </c>
      <c r="U587">
        <v>31532</v>
      </c>
      <c r="V587">
        <v>95.17</v>
      </c>
      <c r="W587">
        <v>71.06</v>
      </c>
      <c r="X587">
        <v>11.71</v>
      </c>
      <c r="Y587">
        <v>19.62</v>
      </c>
    </row>
    <row r="588" spans="1:25" x14ac:dyDescent="0.3">
      <c r="A588" t="s">
        <v>365</v>
      </c>
      <c r="B588" t="str">
        <f t="shared" si="9"/>
        <v>Dec</v>
      </c>
      <c r="C588" t="s">
        <v>68</v>
      </c>
      <c r="D588" t="s">
        <v>69</v>
      </c>
      <c r="E588">
        <v>857847095712.14001</v>
      </c>
      <c r="F588">
        <v>9063.56</v>
      </c>
      <c r="G588">
        <v>45732809254.260002</v>
      </c>
      <c r="H588">
        <v>9180790</v>
      </c>
      <c r="I588">
        <v>10288652</v>
      </c>
      <c r="J588">
        <v>10935241</v>
      </c>
      <c r="K588">
        <v>50.42</v>
      </c>
      <c r="L588">
        <v>4.3</v>
      </c>
      <c r="M588">
        <v>7.26</v>
      </c>
      <c r="N588">
        <v>4.99</v>
      </c>
      <c r="O588">
        <v>184</v>
      </c>
      <c r="P588" t="s">
        <v>51</v>
      </c>
      <c r="Q588" t="s">
        <v>57</v>
      </c>
      <c r="R588" t="s">
        <v>42</v>
      </c>
      <c r="S588">
        <v>2018</v>
      </c>
      <c r="T588" t="s">
        <v>36</v>
      </c>
      <c r="U588">
        <v>41529</v>
      </c>
      <c r="V588">
        <v>69.260000000000005</v>
      </c>
      <c r="W588">
        <v>65.819999999999993</v>
      </c>
      <c r="X588">
        <v>92.38</v>
      </c>
      <c r="Y588">
        <v>88.8</v>
      </c>
    </row>
    <row r="589" spans="1:25" x14ac:dyDescent="0.3">
      <c r="A589" t="s">
        <v>132</v>
      </c>
      <c r="B589" t="str">
        <f t="shared" si="9"/>
        <v>Oct</v>
      </c>
      <c r="C589" t="s">
        <v>25</v>
      </c>
      <c r="D589" t="s">
        <v>26</v>
      </c>
      <c r="E589">
        <v>666166355235.68994</v>
      </c>
      <c r="F589">
        <v>36490.160000000003</v>
      </c>
      <c r="G589">
        <v>47879346024.730003</v>
      </c>
      <c r="H589">
        <v>7389510</v>
      </c>
      <c r="I589">
        <v>8567497</v>
      </c>
      <c r="J589">
        <v>8880216</v>
      </c>
      <c r="K589">
        <v>40.58</v>
      </c>
      <c r="L589">
        <v>-3.43</v>
      </c>
      <c r="M589">
        <v>-9.31</v>
      </c>
      <c r="N589">
        <v>25.49</v>
      </c>
      <c r="O589">
        <v>150</v>
      </c>
      <c r="P589" t="s">
        <v>51</v>
      </c>
      <c r="Q589" t="s">
        <v>41</v>
      </c>
      <c r="R589" t="s">
        <v>42</v>
      </c>
      <c r="S589">
        <v>2011</v>
      </c>
      <c r="T589" t="s">
        <v>30</v>
      </c>
      <c r="U589">
        <v>39509</v>
      </c>
      <c r="V589">
        <v>84.8</v>
      </c>
      <c r="W589">
        <v>84.96</v>
      </c>
      <c r="X589">
        <v>77.989999999999995</v>
      </c>
      <c r="Y589">
        <v>81.39</v>
      </c>
    </row>
    <row r="590" spans="1:25" x14ac:dyDescent="0.3">
      <c r="A590" t="s">
        <v>103</v>
      </c>
      <c r="B590" t="str">
        <f t="shared" si="9"/>
        <v>Dec</v>
      </c>
      <c r="C590" t="s">
        <v>60</v>
      </c>
      <c r="D590" t="s">
        <v>61</v>
      </c>
      <c r="E590">
        <v>479328086778.81</v>
      </c>
      <c r="F590">
        <v>67370.5</v>
      </c>
      <c r="G590">
        <v>47644381219.660004</v>
      </c>
      <c r="H590">
        <v>16364548</v>
      </c>
      <c r="I590">
        <v>18545334</v>
      </c>
      <c r="J590">
        <v>19057983</v>
      </c>
      <c r="K590">
        <v>36.090000000000003</v>
      </c>
      <c r="L590">
        <v>3.05</v>
      </c>
      <c r="M590">
        <v>16.440000000000001</v>
      </c>
      <c r="N590">
        <v>18.71</v>
      </c>
      <c r="O590">
        <v>52</v>
      </c>
      <c r="P590" t="s">
        <v>51</v>
      </c>
      <c r="Q590" t="s">
        <v>57</v>
      </c>
      <c r="R590" t="s">
        <v>64</v>
      </c>
      <c r="S590">
        <v>2023</v>
      </c>
      <c r="T590" t="s">
        <v>30</v>
      </c>
      <c r="U590">
        <v>54630</v>
      </c>
      <c r="V590">
        <v>26.45</v>
      </c>
      <c r="W590">
        <v>50.37</v>
      </c>
      <c r="X590">
        <v>12.48</v>
      </c>
      <c r="Y590">
        <v>19.690000000000001</v>
      </c>
    </row>
    <row r="591" spans="1:25" x14ac:dyDescent="0.3">
      <c r="A591" t="s">
        <v>168</v>
      </c>
      <c r="B591" t="str">
        <f t="shared" si="9"/>
        <v>Apr</v>
      </c>
      <c r="C591" t="s">
        <v>49</v>
      </c>
      <c r="D591" t="s">
        <v>50</v>
      </c>
      <c r="E591">
        <v>301607766176.65997</v>
      </c>
      <c r="F591">
        <v>61921.74</v>
      </c>
      <c r="G591">
        <v>26188025819.77</v>
      </c>
      <c r="H591">
        <v>6594966</v>
      </c>
      <c r="I591">
        <v>9493017</v>
      </c>
      <c r="J591">
        <v>10170133</v>
      </c>
      <c r="K591">
        <v>31.57</v>
      </c>
      <c r="L591">
        <v>2.09</v>
      </c>
      <c r="M591">
        <v>-7.58</v>
      </c>
      <c r="N591">
        <v>33.479999999999997</v>
      </c>
      <c r="O591">
        <v>110</v>
      </c>
      <c r="P591" t="s">
        <v>51</v>
      </c>
      <c r="Q591" t="s">
        <v>34</v>
      </c>
      <c r="R591" t="s">
        <v>42</v>
      </c>
      <c r="S591">
        <v>2011</v>
      </c>
      <c r="T591" t="s">
        <v>36</v>
      </c>
      <c r="U591">
        <v>33319</v>
      </c>
      <c r="V591">
        <v>18.559999999999999</v>
      </c>
      <c r="W591">
        <v>85.54</v>
      </c>
      <c r="X591">
        <v>21.19</v>
      </c>
      <c r="Y591">
        <v>77.39</v>
      </c>
    </row>
    <row r="592" spans="1:25" x14ac:dyDescent="0.3">
      <c r="A592" t="s">
        <v>366</v>
      </c>
      <c r="B592" t="str">
        <f t="shared" si="9"/>
        <v>Jul</v>
      </c>
      <c r="C592" t="s">
        <v>32</v>
      </c>
      <c r="D592" t="s">
        <v>33</v>
      </c>
      <c r="E592">
        <v>766436218140.37</v>
      </c>
      <c r="F592">
        <v>34512.03</v>
      </c>
      <c r="G592">
        <v>15281648744</v>
      </c>
      <c r="H592">
        <v>6068400</v>
      </c>
      <c r="I592">
        <v>8193309</v>
      </c>
      <c r="J592">
        <v>8289736</v>
      </c>
      <c r="K592">
        <v>6.54</v>
      </c>
      <c r="L592">
        <v>-2.9</v>
      </c>
      <c r="M592">
        <v>7.68</v>
      </c>
      <c r="N592">
        <v>-5.89</v>
      </c>
      <c r="O592">
        <v>140</v>
      </c>
      <c r="P592" t="s">
        <v>40</v>
      </c>
      <c r="Q592" t="s">
        <v>34</v>
      </c>
      <c r="R592" t="s">
        <v>29</v>
      </c>
      <c r="S592">
        <v>2020</v>
      </c>
      <c r="T592" t="s">
        <v>36</v>
      </c>
      <c r="U592">
        <v>34292</v>
      </c>
      <c r="V592">
        <v>38.1</v>
      </c>
      <c r="W592">
        <v>44.92</v>
      </c>
      <c r="X592">
        <v>75.62</v>
      </c>
      <c r="Y592">
        <v>85.34</v>
      </c>
    </row>
    <row r="593" spans="1:25" x14ac:dyDescent="0.3">
      <c r="A593" t="s">
        <v>158</v>
      </c>
      <c r="B593" t="str">
        <f t="shared" si="9"/>
        <v>Jul</v>
      </c>
      <c r="C593" t="s">
        <v>44</v>
      </c>
      <c r="D593" t="s">
        <v>45</v>
      </c>
      <c r="E593">
        <v>400291918993.28003</v>
      </c>
      <c r="F593">
        <v>31894.38</v>
      </c>
      <c r="G593">
        <v>31623220333.599998</v>
      </c>
      <c r="H593">
        <v>4818266</v>
      </c>
      <c r="I593">
        <v>8925115</v>
      </c>
      <c r="J593">
        <v>9450441</v>
      </c>
      <c r="K593">
        <v>23.34</v>
      </c>
      <c r="L593">
        <v>3.13</v>
      </c>
      <c r="M593">
        <v>-10.3</v>
      </c>
      <c r="N593">
        <v>-16.43</v>
      </c>
      <c r="O593">
        <v>140</v>
      </c>
      <c r="P593" t="s">
        <v>40</v>
      </c>
      <c r="Q593" t="s">
        <v>47</v>
      </c>
      <c r="R593" t="s">
        <v>74</v>
      </c>
      <c r="S593">
        <v>2020</v>
      </c>
      <c r="T593" t="s">
        <v>36</v>
      </c>
      <c r="U593">
        <v>52651</v>
      </c>
      <c r="V593">
        <v>49</v>
      </c>
      <c r="W593">
        <v>68.709999999999994</v>
      </c>
      <c r="X593">
        <v>22.37</v>
      </c>
      <c r="Y593">
        <v>48.01</v>
      </c>
    </row>
    <row r="594" spans="1:25" x14ac:dyDescent="0.3">
      <c r="A594" t="s">
        <v>272</v>
      </c>
      <c r="B594" t="str">
        <f t="shared" si="9"/>
        <v>Nov</v>
      </c>
      <c r="C594" t="s">
        <v>90</v>
      </c>
      <c r="D594" t="s">
        <v>91</v>
      </c>
      <c r="E594">
        <v>51822832151.370003</v>
      </c>
      <c r="F594">
        <v>50632.2</v>
      </c>
      <c r="G594">
        <v>30732881437.18</v>
      </c>
      <c r="H594">
        <v>2097517</v>
      </c>
      <c r="I594">
        <v>3034556</v>
      </c>
      <c r="J594">
        <v>3764172</v>
      </c>
      <c r="K594">
        <v>18.690000000000001</v>
      </c>
      <c r="L594">
        <v>-0.04</v>
      </c>
      <c r="M594">
        <v>-17.36</v>
      </c>
      <c r="N594">
        <v>36.369999999999997</v>
      </c>
      <c r="O594">
        <v>102</v>
      </c>
      <c r="P594" t="s">
        <v>51</v>
      </c>
      <c r="Q594" t="s">
        <v>41</v>
      </c>
      <c r="R594" t="s">
        <v>74</v>
      </c>
      <c r="S594">
        <v>2014</v>
      </c>
      <c r="T594" t="s">
        <v>30</v>
      </c>
      <c r="U594">
        <v>941</v>
      </c>
      <c r="V594">
        <v>28</v>
      </c>
      <c r="W594">
        <v>90</v>
      </c>
      <c r="X594">
        <v>80.650000000000006</v>
      </c>
      <c r="Y594">
        <v>90.16</v>
      </c>
    </row>
    <row r="595" spans="1:25" x14ac:dyDescent="0.3">
      <c r="A595" t="s">
        <v>195</v>
      </c>
      <c r="B595" t="str">
        <f t="shared" si="9"/>
        <v>Nov</v>
      </c>
      <c r="C595" t="s">
        <v>49</v>
      </c>
      <c r="D595" t="s">
        <v>50</v>
      </c>
      <c r="E595">
        <v>529090412873.53003</v>
      </c>
      <c r="F595">
        <v>48348.77</v>
      </c>
      <c r="G595">
        <v>10215368900.780001</v>
      </c>
      <c r="H595">
        <v>1744967</v>
      </c>
      <c r="I595">
        <v>3801008</v>
      </c>
      <c r="J595">
        <v>3811902</v>
      </c>
      <c r="K595">
        <v>38.840000000000003</v>
      </c>
      <c r="L595">
        <v>-1.64</v>
      </c>
      <c r="M595">
        <v>-6.35</v>
      </c>
      <c r="N595">
        <v>30.18</v>
      </c>
      <c r="O595">
        <v>36</v>
      </c>
      <c r="P595" t="s">
        <v>46</v>
      </c>
      <c r="Q595" t="s">
        <v>47</v>
      </c>
      <c r="R595" t="s">
        <v>29</v>
      </c>
      <c r="S595">
        <v>2018</v>
      </c>
      <c r="T595" t="s">
        <v>36</v>
      </c>
      <c r="U595">
        <v>32288</v>
      </c>
      <c r="V595">
        <v>94.1</v>
      </c>
      <c r="W595">
        <v>95.03</v>
      </c>
      <c r="X595">
        <v>77.349999999999994</v>
      </c>
      <c r="Y595">
        <v>63.01</v>
      </c>
    </row>
    <row r="596" spans="1:25" x14ac:dyDescent="0.3">
      <c r="A596" t="s">
        <v>367</v>
      </c>
      <c r="B596" t="str">
        <f t="shared" si="9"/>
        <v>Nov</v>
      </c>
      <c r="C596" t="s">
        <v>90</v>
      </c>
      <c r="D596" t="s">
        <v>91</v>
      </c>
      <c r="E596">
        <v>405543868136.12</v>
      </c>
      <c r="F596">
        <v>33703.64</v>
      </c>
      <c r="G596">
        <v>19387107286.16</v>
      </c>
      <c r="H596">
        <v>9898332</v>
      </c>
      <c r="I596">
        <v>9944941</v>
      </c>
      <c r="J596">
        <v>10374530</v>
      </c>
      <c r="K596">
        <v>55.39</v>
      </c>
      <c r="L596">
        <v>-2.29</v>
      </c>
      <c r="M596">
        <v>-19.86</v>
      </c>
      <c r="N596">
        <v>-34.4</v>
      </c>
      <c r="O596">
        <v>174</v>
      </c>
      <c r="P596" t="s">
        <v>40</v>
      </c>
      <c r="Q596" t="s">
        <v>47</v>
      </c>
      <c r="R596" t="s">
        <v>42</v>
      </c>
      <c r="S596">
        <v>2013</v>
      </c>
      <c r="T596" t="s">
        <v>30</v>
      </c>
      <c r="U596">
        <v>22687</v>
      </c>
      <c r="V596">
        <v>37.65</v>
      </c>
      <c r="W596">
        <v>68.14</v>
      </c>
      <c r="X596">
        <v>71.010000000000005</v>
      </c>
      <c r="Y596">
        <v>87.08</v>
      </c>
    </row>
    <row r="597" spans="1:25" x14ac:dyDescent="0.3">
      <c r="A597" t="s">
        <v>100</v>
      </c>
      <c r="B597" t="str">
        <f t="shared" si="9"/>
        <v>Jul</v>
      </c>
      <c r="C597" t="s">
        <v>55</v>
      </c>
      <c r="D597" t="s">
        <v>56</v>
      </c>
      <c r="E597">
        <v>416343884926.52002</v>
      </c>
      <c r="F597">
        <v>61336.84</v>
      </c>
      <c r="G597">
        <v>33569005214.189999</v>
      </c>
      <c r="H597">
        <v>5213983</v>
      </c>
      <c r="I597">
        <v>9782552</v>
      </c>
      <c r="J597">
        <v>9907261</v>
      </c>
      <c r="K597">
        <v>21.44</v>
      </c>
      <c r="L597">
        <v>0.73</v>
      </c>
      <c r="M597">
        <v>-19.52</v>
      </c>
      <c r="N597">
        <v>-35.85</v>
      </c>
      <c r="O597">
        <v>36</v>
      </c>
      <c r="P597" t="s">
        <v>27</v>
      </c>
      <c r="Q597" t="s">
        <v>34</v>
      </c>
      <c r="R597" t="s">
        <v>29</v>
      </c>
      <c r="S597">
        <v>2018</v>
      </c>
      <c r="T597" t="s">
        <v>58</v>
      </c>
      <c r="U597">
        <v>60273</v>
      </c>
      <c r="V597">
        <v>40.9</v>
      </c>
      <c r="W597">
        <v>71.599999999999994</v>
      </c>
      <c r="X597">
        <v>68.06</v>
      </c>
      <c r="Y597">
        <v>46.93</v>
      </c>
    </row>
    <row r="598" spans="1:25" x14ac:dyDescent="0.3">
      <c r="A598" t="s">
        <v>368</v>
      </c>
      <c r="B598" t="str">
        <f t="shared" si="9"/>
        <v>Jan</v>
      </c>
      <c r="C598" t="s">
        <v>78</v>
      </c>
      <c r="D598" t="s">
        <v>79</v>
      </c>
      <c r="E598">
        <v>379071410891.23999</v>
      </c>
      <c r="F598">
        <v>23403.01</v>
      </c>
      <c r="G598">
        <v>9042191693.25</v>
      </c>
      <c r="H598">
        <v>2557210</v>
      </c>
      <c r="I598">
        <v>4672711</v>
      </c>
      <c r="J598">
        <v>4713442</v>
      </c>
      <c r="K598">
        <v>12.51</v>
      </c>
      <c r="L598">
        <v>-4.26</v>
      </c>
      <c r="M598">
        <v>8.7100000000000009</v>
      </c>
      <c r="N598">
        <v>31.38</v>
      </c>
      <c r="O598">
        <v>168</v>
      </c>
      <c r="P598" t="s">
        <v>46</v>
      </c>
      <c r="Q598" t="s">
        <v>57</v>
      </c>
      <c r="R598" t="s">
        <v>74</v>
      </c>
      <c r="S598">
        <v>2019</v>
      </c>
      <c r="T598" t="s">
        <v>36</v>
      </c>
      <c r="U598">
        <v>45058</v>
      </c>
      <c r="V598">
        <v>78.44</v>
      </c>
      <c r="W598">
        <v>72.83</v>
      </c>
      <c r="X598">
        <v>35.44</v>
      </c>
      <c r="Y598">
        <v>43.43</v>
      </c>
    </row>
    <row r="599" spans="1:25" x14ac:dyDescent="0.3">
      <c r="A599" t="s">
        <v>160</v>
      </c>
      <c r="B599" t="str">
        <f t="shared" si="9"/>
        <v>Aug</v>
      </c>
      <c r="C599" t="s">
        <v>68</v>
      </c>
      <c r="D599" t="s">
        <v>69</v>
      </c>
      <c r="E599">
        <v>46888591744.620003</v>
      </c>
      <c r="F599">
        <v>46976.42</v>
      </c>
      <c r="G599">
        <v>42763876378.07</v>
      </c>
      <c r="H599">
        <v>16459761</v>
      </c>
      <c r="I599">
        <v>17205258</v>
      </c>
      <c r="J599">
        <v>17752155</v>
      </c>
      <c r="K599">
        <v>33.28</v>
      </c>
      <c r="L599">
        <v>-0.28000000000000003</v>
      </c>
      <c r="M599">
        <v>-14.15</v>
      </c>
      <c r="N599">
        <v>16.399999999999999</v>
      </c>
      <c r="O599">
        <v>170</v>
      </c>
      <c r="P599" t="s">
        <v>40</v>
      </c>
      <c r="Q599" t="s">
        <v>28</v>
      </c>
      <c r="R599" t="s">
        <v>74</v>
      </c>
      <c r="S599">
        <v>2013</v>
      </c>
      <c r="T599" t="s">
        <v>36</v>
      </c>
      <c r="U599">
        <v>55281</v>
      </c>
      <c r="V599">
        <v>92.87</v>
      </c>
      <c r="W599">
        <v>52.63</v>
      </c>
      <c r="X599">
        <v>31.04</v>
      </c>
      <c r="Y599">
        <v>20.399999999999999</v>
      </c>
    </row>
    <row r="600" spans="1:25" x14ac:dyDescent="0.3">
      <c r="A600" t="s">
        <v>369</v>
      </c>
      <c r="B600" t="str">
        <f t="shared" si="9"/>
        <v>Oct</v>
      </c>
      <c r="C600" t="s">
        <v>68</v>
      </c>
      <c r="D600" t="s">
        <v>69</v>
      </c>
      <c r="E600">
        <v>63904120402.089996</v>
      </c>
      <c r="F600">
        <v>10652.01</v>
      </c>
      <c r="G600">
        <v>19654668213.16</v>
      </c>
      <c r="H600">
        <v>2477527</v>
      </c>
      <c r="I600">
        <v>5212951</v>
      </c>
      <c r="J600">
        <v>5463944</v>
      </c>
      <c r="K600">
        <v>29.81</v>
      </c>
      <c r="L600">
        <v>-1.61</v>
      </c>
      <c r="M600">
        <v>0.62</v>
      </c>
      <c r="N600">
        <v>-36.15</v>
      </c>
      <c r="O600">
        <v>38</v>
      </c>
      <c r="P600" t="s">
        <v>51</v>
      </c>
      <c r="Q600" t="s">
        <v>28</v>
      </c>
      <c r="R600" t="s">
        <v>29</v>
      </c>
      <c r="S600">
        <v>2014</v>
      </c>
      <c r="T600" t="s">
        <v>36</v>
      </c>
      <c r="U600">
        <v>9628</v>
      </c>
      <c r="V600">
        <v>63.63</v>
      </c>
      <c r="W600">
        <v>89.87</v>
      </c>
      <c r="X600">
        <v>77.510000000000005</v>
      </c>
      <c r="Y600">
        <v>48.23</v>
      </c>
    </row>
    <row r="601" spans="1:25" x14ac:dyDescent="0.3">
      <c r="A601" t="s">
        <v>305</v>
      </c>
      <c r="B601" t="str">
        <f t="shared" si="9"/>
        <v>May</v>
      </c>
      <c r="C601" t="s">
        <v>38</v>
      </c>
      <c r="D601" t="s">
        <v>39</v>
      </c>
      <c r="E601">
        <v>808638228596.27002</v>
      </c>
      <c r="F601">
        <v>55872.99</v>
      </c>
      <c r="G601">
        <v>37654296681.559998</v>
      </c>
      <c r="H601">
        <v>5968790</v>
      </c>
      <c r="I601">
        <v>10216146</v>
      </c>
      <c r="J601">
        <v>10960492</v>
      </c>
      <c r="K601">
        <v>34.49</v>
      </c>
      <c r="L601">
        <v>0.21</v>
      </c>
      <c r="M601">
        <v>16.28</v>
      </c>
      <c r="N601">
        <v>24.4</v>
      </c>
      <c r="O601">
        <v>146</v>
      </c>
      <c r="P601" t="s">
        <v>40</v>
      </c>
      <c r="Q601" t="s">
        <v>34</v>
      </c>
      <c r="R601" t="s">
        <v>74</v>
      </c>
      <c r="S601">
        <v>2017</v>
      </c>
      <c r="T601" t="s">
        <v>36</v>
      </c>
      <c r="U601">
        <v>13027</v>
      </c>
      <c r="V601">
        <v>71.989999999999995</v>
      </c>
      <c r="W601">
        <v>72.62</v>
      </c>
      <c r="X601">
        <v>10.88</v>
      </c>
      <c r="Y601">
        <v>55.57</v>
      </c>
    </row>
    <row r="602" spans="1:25" x14ac:dyDescent="0.3">
      <c r="A602" t="s">
        <v>143</v>
      </c>
      <c r="B602" t="str">
        <f t="shared" si="9"/>
        <v>Jun</v>
      </c>
      <c r="C602" t="s">
        <v>55</v>
      </c>
      <c r="D602" t="s">
        <v>56</v>
      </c>
      <c r="E602">
        <v>77575260084.229996</v>
      </c>
      <c r="F602">
        <v>59234.77</v>
      </c>
      <c r="G602">
        <v>15480476895.280001</v>
      </c>
      <c r="H602">
        <v>9864832</v>
      </c>
      <c r="I602">
        <v>12815554</v>
      </c>
      <c r="J602">
        <v>12880823</v>
      </c>
      <c r="K602">
        <v>38.57</v>
      </c>
      <c r="L602">
        <v>3.43</v>
      </c>
      <c r="M602">
        <v>-11.67</v>
      </c>
      <c r="N602">
        <v>5.29</v>
      </c>
      <c r="O602">
        <v>18</v>
      </c>
      <c r="P602" t="s">
        <v>27</v>
      </c>
      <c r="Q602" t="s">
        <v>41</v>
      </c>
      <c r="R602" t="s">
        <v>35</v>
      </c>
      <c r="S602">
        <v>2010</v>
      </c>
      <c r="T602" t="s">
        <v>58</v>
      </c>
      <c r="U602">
        <v>54804</v>
      </c>
      <c r="V602">
        <v>43.28</v>
      </c>
      <c r="W602">
        <v>66.27</v>
      </c>
      <c r="X602">
        <v>76.23</v>
      </c>
      <c r="Y602">
        <v>31.98</v>
      </c>
    </row>
    <row r="603" spans="1:25" x14ac:dyDescent="0.3">
      <c r="A603" t="s">
        <v>370</v>
      </c>
      <c r="B603" t="str">
        <f t="shared" si="9"/>
        <v>Jul</v>
      </c>
      <c r="C603" t="s">
        <v>38</v>
      </c>
      <c r="D603" t="s">
        <v>39</v>
      </c>
      <c r="E603">
        <v>297122057906.03998</v>
      </c>
      <c r="F603">
        <v>44712.12</v>
      </c>
      <c r="G603">
        <v>13659939945.379999</v>
      </c>
      <c r="H603">
        <v>1962978</v>
      </c>
      <c r="I603">
        <v>6689474</v>
      </c>
      <c r="J603">
        <v>7326885</v>
      </c>
      <c r="K603">
        <v>41.7</v>
      </c>
      <c r="L603">
        <v>1.26</v>
      </c>
      <c r="M603">
        <v>-10.33</v>
      </c>
      <c r="N603">
        <v>10.44</v>
      </c>
      <c r="O603">
        <v>196</v>
      </c>
      <c r="P603" t="s">
        <v>51</v>
      </c>
      <c r="Q603" t="s">
        <v>28</v>
      </c>
      <c r="R603" t="s">
        <v>74</v>
      </c>
      <c r="S603">
        <v>2014</v>
      </c>
      <c r="T603" t="s">
        <v>36</v>
      </c>
      <c r="U603">
        <v>56606</v>
      </c>
      <c r="V603">
        <v>53.68</v>
      </c>
      <c r="W603">
        <v>21.34</v>
      </c>
      <c r="X603">
        <v>91.59</v>
      </c>
      <c r="Y603">
        <v>24.75</v>
      </c>
    </row>
    <row r="604" spans="1:25" x14ac:dyDescent="0.3">
      <c r="A604" t="s">
        <v>182</v>
      </c>
      <c r="B604" t="str">
        <f t="shared" si="9"/>
        <v>Jun</v>
      </c>
      <c r="C604" t="s">
        <v>38</v>
      </c>
      <c r="D604" t="s">
        <v>39</v>
      </c>
      <c r="E604">
        <v>199529779991.53</v>
      </c>
      <c r="F604">
        <v>27140.63</v>
      </c>
      <c r="G604">
        <v>283583640.86000001</v>
      </c>
      <c r="H604">
        <v>1545453</v>
      </c>
      <c r="I604">
        <v>2991311</v>
      </c>
      <c r="J604">
        <v>3060849</v>
      </c>
      <c r="K604">
        <v>52.46</v>
      </c>
      <c r="L604">
        <v>-4.88</v>
      </c>
      <c r="M604">
        <v>-7.02</v>
      </c>
      <c r="N604">
        <v>-16.149999999999999</v>
      </c>
      <c r="O604">
        <v>1</v>
      </c>
      <c r="P604" t="s">
        <v>53</v>
      </c>
      <c r="Q604" t="s">
        <v>57</v>
      </c>
      <c r="R604" t="s">
        <v>64</v>
      </c>
      <c r="S604">
        <v>2016</v>
      </c>
      <c r="T604" t="s">
        <v>36</v>
      </c>
      <c r="U604">
        <v>63768</v>
      </c>
      <c r="V604">
        <v>81.06</v>
      </c>
      <c r="W604">
        <v>56.09</v>
      </c>
      <c r="X604">
        <v>84.83</v>
      </c>
      <c r="Y604">
        <v>57.65</v>
      </c>
    </row>
    <row r="605" spans="1:25" x14ac:dyDescent="0.3">
      <c r="A605" t="s">
        <v>134</v>
      </c>
      <c r="B605" t="str">
        <f t="shared" si="9"/>
        <v>Mar</v>
      </c>
      <c r="C605" t="s">
        <v>55</v>
      </c>
      <c r="D605" t="s">
        <v>56</v>
      </c>
      <c r="E605">
        <v>163705495299.67999</v>
      </c>
      <c r="F605">
        <v>50920.68</v>
      </c>
      <c r="G605">
        <v>43552204251.589996</v>
      </c>
      <c r="H605">
        <v>4639526</v>
      </c>
      <c r="I605">
        <v>6915901</v>
      </c>
      <c r="J605">
        <v>7023644</v>
      </c>
      <c r="K605">
        <v>35.380000000000003</v>
      </c>
      <c r="L605">
        <v>-4.03</v>
      </c>
      <c r="M605">
        <v>11.55</v>
      </c>
      <c r="N605">
        <v>-28.34</v>
      </c>
      <c r="O605">
        <v>124</v>
      </c>
      <c r="P605" t="s">
        <v>46</v>
      </c>
      <c r="Q605" t="s">
        <v>34</v>
      </c>
      <c r="R605" t="s">
        <v>64</v>
      </c>
      <c r="S605">
        <v>2012</v>
      </c>
      <c r="T605" t="s">
        <v>58</v>
      </c>
      <c r="U605">
        <v>13789</v>
      </c>
      <c r="V605">
        <v>38.700000000000003</v>
      </c>
      <c r="W605">
        <v>93.29</v>
      </c>
      <c r="X605">
        <v>64.510000000000005</v>
      </c>
      <c r="Y605">
        <v>14.27</v>
      </c>
    </row>
    <row r="606" spans="1:25" x14ac:dyDescent="0.3">
      <c r="A606" t="s">
        <v>339</v>
      </c>
      <c r="B606" t="str">
        <f t="shared" si="9"/>
        <v>Apr</v>
      </c>
      <c r="C606" t="s">
        <v>32</v>
      </c>
      <c r="D606" t="s">
        <v>33</v>
      </c>
      <c r="E606">
        <v>651547622259.80005</v>
      </c>
      <c r="F606">
        <v>58366.12</v>
      </c>
      <c r="G606">
        <v>19932094988.650002</v>
      </c>
      <c r="H606">
        <v>17170470</v>
      </c>
      <c r="I606">
        <v>18419345</v>
      </c>
      <c r="J606">
        <v>18669555</v>
      </c>
      <c r="K606">
        <v>19.91</v>
      </c>
      <c r="L606">
        <v>-3.72</v>
      </c>
      <c r="M606">
        <v>-0.61</v>
      </c>
      <c r="N606">
        <v>11.78</v>
      </c>
      <c r="O606">
        <v>74</v>
      </c>
      <c r="P606" t="s">
        <v>40</v>
      </c>
      <c r="Q606" t="s">
        <v>41</v>
      </c>
      <c r="R606" t="s">
        <v>35</v>
      </c>
      <c r="S606">
        <v>2012</v>
      </c>
      <c r="T606" t="s">
        <v>36</v>
      </c>
      <c r="U606">
        <v>6647</v>
      </c>
      <c r="V606">
        <v>57.82</v>
      </c>
      <c r="W606">
        <v>43.49</v>
      </c>
      <c r="X606">
        <v>97.91</v>
      </c>
      <c r="Y606">
        <v>58.59</v>
      </c>
    </row>
    <row r="607" spans="1:25" x14ac:dyDescent="0.3">
      <c r="A607" t="s">
        <v>267</v>
      </c>
      <c r="B607" t="str">
        <f t="shared" si="9"/>
        <v>Jul</v>
      </c>
      <c r="C607" t="s">
        <v>55</v>
      </c>
      <c r="D607" t="s">
        <v>56</v>
      </c>
      <c r="E607">
        <v>385146021248.20001</v>
      </c>
      <c r="F607">
        <v>46890.13</v>
      </c>
      <c r="G607">
        <v>6631509199.0200005</v>
      </c>
      <c r="H607">
        <v>18501289</v>
      </c>
      <c r="I607">
        <v>22367291</v>
      </c>
      <c r="J607">
        <v>23130807</v>
      </c>
      <c r="K607">
        <v>55.29</v>
      </c>
      <c r="L607">
        <v>4.2699999999999996</v>
      </c>
      <c r="M607">
        <v>1.77</v>
      </c>
      <c r="N607">
        <v>6.73</v>
      </c>
      <c r="O607">
        <v>111</v>
      </c>
      <c r="P607" t="s">
        <v>27</v>
      </c>
      <c r="Q607" t="s">
        <v>41</v>
      </c>
      <c r="R607" t="s">
        <v>64</v>
      </c>
      <c r="S607">
        <v>2017</v>
      </c>
      <c r="T607" t="s">
        <v>58</v>
      </c>
      <c r="U607">
        <v>14564</v>
      </c>
      <c r="V607">
        <v>50.69</v>
      </c>
      <c r="W607">
        <v>27.04</v>
      </c>
      <c r="X607">
        <v>20.63</v>
      </c>
      <c r="Y607">
        <v>81.89</v>
      </c>
    </row>
    <row r="608" spans="1:25" x14ac:dyDescent="0.3">
      <c r="A608" t="s">
        <v>301</v>
      </c>
      <c r="B608" t="str">
        <f t="shared" si="9"/>
        <v>Nov</v>
      </c>
      <c r="C608" t="s">
        <v>68</v>
      </c>
      <c r="D608" t="s">
        <v>69</v>
      </c>
      <c r="E608">
        <v>578847499871.40002</v>
      </c>
      <c r="F608">
        <v>18390.169999999998</v>
      </c>
      <c r="G608">
        <v>9784862937.2600002</v>
      </c>
      <c r="H608">
        <v>18559711</v>
      </c>
      <c r="I608">
        <v>22082074</v>
      </c>
      <c r="J608">
        <v>22256147</v>
      </c>
      <c r="K608">
        <v>26.22</v>
      </c>
      <c r="L608">
        <v>-0.06</v>
      </c>
      <c r="M608">
        <v>-15.22</v>
      </c>
      <c r="N608">
        <v>-29.83</v>
      </c>
      <c r="O608">
        <v>99</v>
      </c>
      <c r="P608" t="s">
        <v>53</v>
      </c>
      <c r="Q608" t="s">
        <v>28</v>
      </c>
      <c r="R608" t="s">
        <v>64</v>
      </c>
      <c r="S608">
        <v>2010</v>
      </c>
      <c r="T608" t="s">
        <v>36</v>
      </c>
      <c r="U608">
        <v>30735</v>
      </c>
      <c r="V608">
        <v>17.55</v>
      </c>
      <c r="W608">
        <v>69.53</v>
      </c>
      <c r="X608">
        <v>66.41</v>
      </c>
      <c r="Y608">
        <v>70.11</v>
      </c>
    </row>
    <row r="609" spans="1:25" x14ac:dyDescent="0.3">
      <c r="A609" t="s">
        <v>220</v>
      </c>
      <c r="B609" t="str">
        <f t="shared" si="9"/>
        <v>Sep</v>
      </c>
      <c r="C609" t="s">
        <v>78</v>
      </c>
      <c r="D609" t="s">
        <v>79</v>
      </c>
      <c r="E609">
        <v>461640384427.90997</v>
      </c>
      <c r="F609">
        <v>18915.82</v>
      </c>
      <c r="G609">
        <v>15679074255.9</v>
      </c>
      <c r="H609">
        <v>18239718</v>
      </c>
      <c r="I609">
        <v>21934898</v>
      </c>
      <c r="J609">
        <v>22710212</v>
      </c>
      <c r="K609">
        <v>20.52</v>
      </c>
      <c r="L609">
        <v>-3.64</v>
      </c>
      <c r="M609">
        <v>0.9</v>
      </c>
      <c r="N609">
        <v>-31.1</v>
      </c>
      <c r="O609">
        <v>55</v>
      </c>
      <c r="P609" t="s">
        <v>51</v>
      </c>
      <c r="Q609" t="s">
        <v>34</v>
      </c>
      <c r="R609" t="s">
        <v>35</v>
      </c>
      <c r="S609">
        <v>2023</v>
      </c>
      <c r="T609" t="s">
        <v>36</v>
      </c>
      <c r="U609">
        <v>54156</v>
      </c>
      <c r="V609">
        <v>80.599999999999994</v>
      </c>
      <c r="W609">
        <v>49.32</v>
      </c>
      <c r="X609">
        <v>65.78</v>
      </c>
      <c r="Y609">
        <v>82.5</v>
      </c>
    </row>
    <row r="610" spans="1:25" x14ac:dyDescent="0.3">
      <c r="A610" t="s">
        <v>178</v>
      </c>
      <c r="B610" t="str">
        <f t="shared" si="9"/>
        <v>Sep</v>
      </c>
      <c r="C610" t="s">
        <v>38</v>
      </c>
      <c r="D610" t="s">
        <v>39</v>
      </c>
      <c r="E610">
        <v>884488739432.25</v>
      </c>
      <c r="F610">
        <v>37568.85</v>
      </c>
      <c r="G610">
        <v>29638256480.139999</v>
      </c>
      <c r="H610">
        <v>2593072</v>
      </c>
      <c r="I610">
        <v>7474956</v>
      </c>
      <c r="J610">
        <v>7938891</v>
      </c>
      <c r="K610">
        <v>3.29</v>
      </c>
      <c r="L610">
        <v>0.08</v>
      </c>
      <c r="M610">
        <v>-7.46</v>
      </c>
      <c r="N610">
        <v>-2.92</v>
      </c>
      <c r="O610">
        <v>171</v>
      </c>
      <c r="P610" t="s">
        <v>53</v>
      </c>
      <c r="Q610" t="s">
        <v>57</v>
      </c>
      <c r="R610" t="s">
        <v>35</v>
      </c>
      <c r="S610">
        <v>2012</v>
      </c>
      <c r="T610" t="s">
        <v>36</v>
      </c>
      <c r="U610">
        <v>37387</v>
      </c>
      <c r="V610">
        <v>23.05</v>
      </c>
      <c r="W610">
        <v>42.99</v>
      </c>
      <c r="X610">
        <v>50.47</v>
      </c>
      <c r="Y610">
        <v>83.05</v>
      </c>
    </row>
    <row r="611" spans="1:25" x14ac:dyDescent="0.3">
      <c r="A611" t="s">
        <v>246</v>
      </c>
      <c r="B611" t="str">
        <f t="shared" si="9"/>
        <v>Sep</v>
      </c>
      <c r="C611" t="s">
        <v>32</v>
      </c>
      <c r="D611" t="s">
        <v>33</v>
      </c>
      <c r="E611">
        <v>426953223835.53998</v>
      </c>
      <c r="F611">
        <v>69608.02</v>
      </c>
      <c r="G611">
        <v>38568987579.269997</v>
      </c>
      <c r="H611">
        <v>15881934</v>
      </c>
      <c r="I611">
        <v>19448970</v>
      </c>
      <c r="J611">
        <v>19897149</v>
      </c>
      <c r="K611">
        <v>55.18</v>
      </c>
      <c r="L611">
        <v>-4.1900000000000004</v>
      </c>
      <c r="M611">
        <v>1.21</v>
      </c>
      <c r="N611">
        <v>-37.770000000000003</v>
      </c>
      <c r="O611">
        <v>26</v>
      </c>
      <c r="P611" t="s">
        <v>40</v>
      </c>
      <c r="Q611" t="s">
        <v>57</v>
      </c>
      <c r="R611" t="s">
        <v>35</v>
      </c>
      <c r="S611">
        <v>2015</v>
      </c>
      <c r="T611" t="s">
        <v>36</v>
      </c>
      <c r="U611">
        <v>9942</v>
      </c>
      <c r="V611">
        <v>42.8</v>
      </c>
      <c r="W611">
        <v>93.4</v>
      </c>
      <c r="X611">
        <v>89.19</v>
      </c>
      <c r="Y611">
        <v>99.62</v>
      </c>
    </row>
    <row r="612" spans="1:25" x14ac:dyDescent="0.3">
      <c r="A612" t="s">
        <v>93</v>
      </c>
      <c r="B612" t="str">
        <f t="shared" si="9"/>
        <v>Jan</v>
      </c>
      <c r="C612" t="s">
        <v>68</v>
      </c>
      <c r="D612" t="s">
        <v>69</v>
      </c>
      <c r="E612">
        <v>192115815482.03</v>
      </c>
      <c r="F612">
        <v>43370.27</v>
      </c>
      <c r="G612">
        <v>44516422913.839996</v>
      </c>
      <c r="H612">
        <v>11736350</v>
      </c>
      <c r="I612">
        <v>14277509</v>
      </c>
      <c r="J612">
        <v>14416387</v>
      </c>
      <c r="K612">
        <v>21.41</v>
      </c>
      <c r="L612">
        <v>-3.24</v>
      </c>
      <c r="M612">
        <v>9.32</v>
      </c>
      <c r="N612">
        <v>39.6</v>
      </c>
      <c r="O612">
        <v>156</v>
      </c>
      <c r="P612" t="s">
        <v>46</v>
      </c>
      <c r="Q612" t="s">
        <v>28</v>
      </c>
      <c r="R612" t="s">
        <v>35</v>
      </c>
      <c r="S612">
        <v>2016</v>
      </c>
      <c r="T612" t="s">
        <v>36</v>
      </c>
      <c r="U612">
        <v>28615</v>
      </c>
      <c r="V612">
        <v>25.52</v>
      </c>
      <c r="W612">
        <v>76.37</v>
      </c>
      <c r="X612">
        <v>85.45</v>
      </c>
      <c r="Y612">
        <v>98.39</v>
      </c>
    </row>
    <row r="613" spans="1:25" x14ac:dyDescent="0.3">
      <c r="A613" t="s">
        <v>24</v>
      </c>
      <c r="B613" t="str">
        <f t="shared" si="9"/>
        <v>Jul</v>
      </c>
      <c r="C613" t="s">
        <v>44</v>
      </c>
      <c r="D613" t="s">
        <v>45</v>
      </c>
      <c r="E613">
        <v>213487844474.82001</v>
      </c>
      <c r="F613">
        <v>6560.29</v>
      </c>
      <c r="G613">
        <v>37953832189.199997</v>
      </c>
      <c r="H613">
        <v>3387806</v>
      </c>
      <c r="I613">
        <v>4769574</v>
      </c>
      <c r="J613">
        <v>5553946</v>
      </c>
      <c r="K613">
        <v>37.369999999999997</v>
      </c>
      <c r="L613">
        <v>-2.89</v>
      </c>
      <c r="M613">
        <v>1.45</v>
      </c>
      <c r="N613">
        <v>16.82</v>
      </c>
      <c r="O613">
        <v>19</v>
      </c>
      <c r="P613" t="s">
        <v>27</v>
      </c>
      <c r="Q613" t="s">
        <v>47</v>
      </c>
      <c r="R613" t="s">
        <v>42</v>
      </c>
      <c r="S613">
        <v>2021</v>
      </c>
      <c r="T613" t="s">
        <v>36</v>
      </c>
      <c r="U613">
        <v>15766</v>
      </c>
      <c r="V613">
        <v>93.25</v>
      </c>
      <c r="W613">
        <v>49.31</v>
      </c>
      <c r="X613">
        <v>34.299999999999997</v>
      </c>
      <c r="Y613">
        <v>83.79</v>
      </c>
    </row>
    <row r="614" spans="1:25" x14ac:dyDescent="0.3">
      <c r="A614" t="s">
        <v>340</v>
      </c>
      <c r="B614" t="str">
        <f t="shared" si="9"/>
        <v>Apr</v>
      </c>
      <c r="C614" t="s">
        <v>49</v>
      </c>
      <c r="D614" t="s">
        <v>50</v>
      </c>
      <c r="E614">
        <v>603639022489.93005</v>
      </c>
      <c r="F614">
        <v>64986.36</v>
      </c>
      <c r="G614">
        <v>46818045164.169998</v>
      </c>
      <c r="H614">
        <v>3904115</v>
      </c>
      <c r="I614">
        <v>7856392</v>
      </c>
      <c r="J614">
        <v>8223480</v>
      </c>
      <c r="K614">
        <v>50.93</v>
      </c>
      <c r="L614">
        <v>-0.93</v>
      </c>
      <c r="M614">
        <v>1.38</v>
      </c>
      <c r="N614">
        <v>13.24</v>
      </c>
      <c r="O614">
        <v>68</v>
      </c>
      <c r="P614" t="s">
        <v>40</v>
      </c>
      <c r="Q614" t="s">
        <v>57</v>
      </c>
      <c r="R614" t="s">
        <v>29</v>
      </c>
      <c r="S614">
        <v>2020</v>
      </c>
      <c r="T614" t="s">
        <v>36</v>
      </c>
      <c r="U614">
        <v>5041</v>
      </c>
      <c r="V614">
        <v>63.72</v>
      </c>
      <c r="W614">
        <v>86.72</v>
      </c>
      <c r="X614">
        <v>48.28</v>
      </c>
      <c r="Y614">
        <v>77.489999999999995</v>
      </c>
    </row>
    <row r="615" spans="1:25" x14ac:dyDescent="0.3">
      <c r="A615" t="s">
        <v>357</v>
      </c>
      <c r="B615" t="str">
        <f t="shared" si="9"/>
        <v>May</v>
      </c>
      <c r="C615" t="s">
        <v>38</v>
      </c>
      <c r="D615" t="s">
        <v>39</v>
      </c>
      <c r="E615">
        <v>60292981160.980003</v>
      </c>
      <c r="F615">
        <v>20305.150000000001</v>
      </c>
      <c r="G615">
        <v>3484793626.4299998</v>
      </c>
      <c r="H615">
        <v>7186822</v>
      </c>
      <c r="I615">
        <v>7901015</v>
      </c>
      <c r="J615">
        <v>8125650</v>
      </c>
      <c r="K615">
        <v>34.340000000000003</v>
      </c>
      <c r="L615">
        <v>1.34</v>
      </c>
      <c r="M615">
        <v>-17.78</v>
      </c>
      <c r="N615">
        <v>25.43</v>
      </c>
      <c r="O615">
        <v>15</v>
      </c>
      <c r="P615" t="s">
        <v>27</v>
      </c>
      <c r="Q615" t="s">
        <v>34</v>
      </c>
      <c r="R615" t="s">
        <v>74</v>
      </c>
      <c r="S615">
        <v>2023</v>
      </c>
      <c r="T615" t="s">
        <v>36</v>
      </c>
      <c r="U615">
        <v>11394</v>
      </c>
      <c r="V615">
        <v>91.86</v>
      </c>
      <c r="W615">
        <v>73.290000000000006</v>
      </c>
      <c r="X615">
        <v>85.13</v>
      </c>
      <c r="Y615">
        <v>78.739999999999995</v>
      </c>
    </row>
    <row r="616" spans="1:25" x14ac:dyDescent="0.3">
      <c r="A616" t="s">
        <v>346</v>
      </c>
      <c r="B616" t="str">
        <f t="shared" si="9"/>
        <v>Sep</v>
      </c>
      <c r="C616" t="s">
        <v>38</v>
      </c>
      <c r="D616" t="s">
        <v>39</v>
      </c>
      <c r="E616">
        <v>546327814094.60999</v>
      </c>
      <c r="F616">
        <v>12386.02</v>
      </c>
      <c r="G616">
        <v>36692876998.029999</v>
      </c>
      <c r="H616">
        <v>1974889</v>
      </c>
      <c r="I616">
        <v>6829292</v>
      </c>
      <c r="J616">
        <v>7169855</v>
      </c>
      <c r="K616">
        <v>47.39</v>
      </c>
      <c r="L616">
        <v>-3.62</v>
      </c>
      <c r="M616">
        <v>19.95</v>
      </c>
      <c r="N616">
        <v>17.02</v>
      </c>
      <c r="O616">
        <v>12</v>
      </c>
      <c r="P616" t="s">
        <v>27</v>
      </c>
      <c r="Q616" t="s">
        <v>57</v>
      </c>
      <c r="R616" t="s">
        <v>29</v>
      </c>
      <c r="S616">
        <v>2020</v>
      </c>
      <c r="T616" t="s">
        <v>36</v>
      </c>
      <c r="U616">
        <v>11687</v>
      </c>
      <c r="V616">
        <v>17.57</v>
      </c>
      <c r="W616">
        <v>22.6</v>
      </c>
      <c r="X616">
        <v>72.680000000000007</v>
      </c>
      <c r="Y616">
        <v>88.98</v>
      </c>
    </row>
    <row r="617" spans="1:25" x14ac:dyDescent="0.3">
      <c r="A617" t="s">
        <v>371</v>
      </c>
      <c r="B617" t="str">
        <f t="shared" si="9"/>
        <v>Mar</v>
      </c>
      <c r="C617" t="s">
        <v>32</v>
      </c>
      <c r="D617" t="s">
        <v>33</v>
      </c>
      <c r="E617">
        <v>724072139990.42004</v>
      </c>
      <c r="F617">
        <v>57868.63</v>
      </c>
      <c r="G617">
        <v>25432886058.450001</v>
      </c>
      <c r="H617">
        <v>9421748</v>
      </c>
      <c r="I617">
        <v>13372324</v>
      </c>
      <c r="J617">
        <v>14333798</v>
      </c>
      <c r="K617">
        <v>0.94</v>
      </c>
      <c r="L617">
        <v>0.56999999999999995</v>
      </c>
      <c r="M617">
        <v>15.39</v>
      </c>
      <c r="N617">
        <v>-26.9</v>
      </c>
      <c r="O617">
        <v>169</v>
      </c>
      <c r="P617" t="s">
        <v>46</v>
      </c>
      <c r="Q617" t="s">
        <v>57</v>
      </c>
      <c r="R617" t="s">
        <v>35</v>
      </c>
      <c r="S617">
        <v>2020</v>
      </c>
      <c r="T617" t="s">
        <v>36</v>
      </c>
      <c r="U617">
        <v>2257</v>
      </c>
      <c r="V617">
        <v>76.040000000000006</v>
      </c>
      <c r="W617">
        <v>76.88</v>
      </c>
      <c r="X617">
        <v>89.11</v>
      </c>
      <c r="Y617">
        <v>95.51</v>
      </c>
    </row>
    <row r="618" spans="1:25" x14ac:dyDescent="0.3">
      <c r="A618" t="s">
        <v>70</v>
      </c>
      <c r="B618" t="str">
        <f t="shared" si="9"/>
        <v>Dec</v>
      </c>
      <c r="C618" t="s">
        <v>68</v>
      </c>
      <c r="D618" t="s">
        <v>69</v>
      </c>
      <c r="E618">
        <v>861154746455.31995</v>
      </c>
      <c r="F618">
        <v>30184.59</v>
      </c>
      <c r="G618">
        <v>18134443456.009998</v>
      </c>
      <c r="H618">
        <v>12439349</v>
      </c>
      <c r="I618">
        <v>14336150</v>
      </c>
      <c r="J618">
        <v>14665056</v>
      </c>
      <c r="K618">
        <v>31.38</v>
      </c>
      <c r="L618">
        <v>1.19</v>
      </c>
      <c r="M618">
        <v>-15.5</v>
      </c>
      <c r="N618">
        <v>-14.75</v>
      </c>
      <c r="O618">
        <v>115</v>
      </c>
      <c r="P618" t="s">
        <v>53</v>
      </c>
      <c r="Q618" t="s">
        <v>41</v>
      </c>
      <c r="R618" t="s">
        <v>42</v>
      </c>
      <c r="S618">
        <v>2021</v>
      </c>
      <c r="T618" t="s">
        <v>36</v>
      </c>
      <c r="U618">
        <v>25931</v>
      </c>
      <c r="V618">
        <v>16.55</v>
      </c>
      <c r="W618">
        <v>20.190000000000001</v>
      </c>
      <c r="X618">
        <v>76.459999999999994</v>
      </c>
      <c r="Y618">
        <v>43.76</v>
      </c>
    </row>
    <row r="619" spans="1:25" x14ac:dyDescent="0.3">
      <c r="A619" t="s">
        <v>255</v>
      </c>
      <c r="B619" t="str">
        <f t="shared" si="9"/>
        <v>Jun</v>
      </c>
      <c r="C619" t="s">
        <v>68</v>
      </c>
      <c r="D619" t="s">
        <v>69</v>
      </c>
      <c r="E619">
        <v>822536742854.06995</v>
      </c>
      <c r="F619">
        <v>55975.54</v>
      </c>
      <c r="G619">
        <v>18509778480.34</v>
      </c>
      <c r="H619">
        <v>17160385</v>
      </c>
      <c r="I619">
        <v>21887132</v>
      </c>
      <c r="J619">
        <v>22338272</v>
      </c>
      <c r="K619">
        <v>9.09</v>
      </c>
      <c r="L619">
        <v>3.49</v>
      </c>
      <c r="M619">
        <v>-4.59</v>
      </c>
      <c r="N619">
        <v>25.87</v>
      </c>
      <c r="O619">
        <v>51</v>
      </c>
      <c r="P619" t="s">
        <v>53</v>
      </c>
      <c r="Q619" t="s">
        <v>57</v>
      </c>
      <c r="R619" t="s">
        <v>74</v>
      </c>
      <c r="S619">
        <v>2015</v>
      </c>
      <c r="T619" t="s">
        <v>36</v>
      </c>
      <c r="U619">
        <v>5607</v>
      </c>
      <c r="V619">
        <v>37.049999999999997</v>
      </c>
      <c r="W619">
        <v>96.92</v>
      </c>
      <c r="X619">
        <v>12.19</v>
      </c>
      <c r="Y619">
        <v>39.81</v>
      </c>
    </row>
    <row r="620" spans="1:25" x14ac:dyDescent="0.3">
      <c r="A620" t="s">
        <v>87</v>
      </c>
      <c r="B620" t="str">
        <f t="shared" si="9"/>
        <v>Jun</v>
      </c>
      <c r="C620" t="s">
        <v>25</v>
      </c>
      <c r="D620" t="s">
        <v>26</v>
      </c>
      <c r="E620">
        <v>284388353115.63</v>
      </c>
      <c r="F620">
        <v>43875.199999999997</v>
      </c>
      <c r="G620">
        <v>43579094295.239998</v>
      </c>
      <c r="H620">
        <v>2978084</v>
      </c>
      <c r="I620">
        <v>7233434</v>
      </c>
      <c r="J620">
        <v>7676086</v>
      </c>
      <c r="K620">
        <v>30.81</v>
      </c>
      <c r="L620">
        <v>-3.46</v>
      </c>
      <c r="M620">
        <v>13.92</v>
      </c>
      <c r="N620">
        <v>39.93</v>
      </c>
      <c r="O620">
        <v>157</v>
      </c>
      <c r="P620" t="s">
        <v>51</v>
      </c>
      <c r="Q620" t="s">
        <v>34</v>
      </c>
      <c r="R620" t="s">
        <v>29</v>
      </c>
      <c r="S620">
        <v>2013</v>
      </c>
      <c r="T620" t="s">
        <v>30</v>
      </c>
      <c r="U620">
        <v>30534</v>
      </c>
      <c r="V620">
        <v>80.55</v>
      </c>
      <c r="W620">
        <v>90.66</v>
      </c>
      <c r="X620">
        <v>86.76</v>
      </c>
      <c r="Y620">
        <v>76.59</v>
      </c>
    </row>
    <row r="621" spans="1:25" x14ac:dyDescent="0.3">
      <c r="A621" t="s">
        <v>372</v>
      </c>
      <c r="B621" t="str">
        <f t="shared" si="9"/>
        <v>Jul</v>
      </c>
      <c r="C621" t="s">
        <v>55</v>
      </c>
      <c r="D621" t="s">
        <v>56</v>
      </c>
      <c r="E621">
        <v>810908488571.70996</v>
      </c>
      <c r="F621">
        <v>52167.99</v>
      </c>
      <c r="G621">
        <v>31669336107.259998</v>
      </c>
      <c r="H621">
        <v>15132621</v>
      </c>
      <c r="I621">
        <v>15413464</v>
      </c>
      <c r="J621">
        <v>16104492</v>
      </c>
      <c r="K621">
        <v>42.82</v>
      </c>
      <c r="L621">
        <v>-2.29</v>
      </c>
      <c r="M621">
        <v>-16.670000000000002</v>
      </c>
      <c r="N621">
        <v>1.84</v>
      </c>
      <c r="O621">
        <v>45</v>
      </c>
      <c r="P621" t="s">
        <v>53</v>
      </c>
      <c r="Q621" t="s">
        <v>34</v>
      </c>
      <c r="R621" t="s">
        <v>64</v>
      </c>
      <c r="S621">
        <v>2013</v>
      </c>
      <c r="T621" t="s">
        <v>58</v>
      </c>
      <c r="U621">
        <v>26771</v>
      </c>
      <c r="V621">
        <v>80.12</v>
      </c>
      <c r="W621">
        <v>31.01</v>
      </c>
      <c r="X621">
        <v>35.020000000000003</v>
      </c>
      <c r="Y621">
        <v>90.09</v>
      </c>
    </row>
    <row r="622" spans="1:25" x14ac:dyDescent="0.3">
      <c r="A622" t="s">
        <v>328</v>
      </c>
      <c r="B622" t="str">
        <f t="shared" si="9"/>
        <v>Dec</v>
      </c>
      <c r="C622" t="s">
        <v>38</v>
      </c>
      <c r="D622" t="s">
        <v>39</v>
      </c>
      <c r="E622">
        <v>858913821618.18994</v>
      </c>
      <c r="F622">
        <v>64417.03</v>
      </c>
      <c r="G622">
        <v>18413949638.990002</v>
      </c>
      <c r="H622">
        <v>7964638</v>
      </c>
      <c r="I622">
        <v>10829591</v>
      </c>
      <c r="J622">
        <v>11432604</v>
      </c>
      <c r="K622">
        <v>6.2</v>
      </c>
      <c r="L622">
        <v>1.04</v>
      </c>
      <c r="M622">
        <v>-0.82</v>
      </c>
      <c r="N622">
        <v>-2.15</v>
      </c>
      <c r="O622">
        <v>151</v>
      </c>
      <c r="P622" t="s">
        <v>40</v>
      </c>
      <c r="Q622" t="s">
        <v>47</v>
      </c>
      <c r="R622" t="s">
        <v>64</v>
      </c>
      <c r="S622">
        <v>2011</v>
      </c>
      <c r="T622" t="s">
        <v>36</v>
      </c>
      <c r="U622">
        <v>30668</v>
      </c>
      <c r="V622">
        <v>38.32</v>
      </c>
      <c r="W622">
        <v>37.32</v>
      </c>
      <c r="X622">
        <v>85.35</v>
      </c>
      <c r="Y622">
        <v>98.56</v>
      </c>
    </row>
    <row r="623" spans="1:25" x14ac:dyDescent="0.3">
      <c r="A623" t="s">
        <v>344</v>
      </c>
      <c r="B623" t="str">
        <f t="shared" si="9"/>
        <v>Dec</v>
      </c>
      <c r="C623" t="s">
        <v>25</v>
      </c>
      <c r="D623" t="s">
        <v>26</v>
      </c>
      <c r="E623">
        <v>888088717750.84998</v>
      </c>
      <c r="F623">
        <v>17029.72</v>
      </c>
      <c r="G623">
        <v>43047228581.400002</v>
      </c>
      <c r="H623">
        <v>8636526</v>
      </c>
      <c r="I623">
        <v>9958735</v>
      </c>
      <c r="J623">
        <v>10352935</v>
      </c>
      <c r="K623">
        <v>58.59</v>
      </c>
      <c r="L623">
        <v>-4.2</v>
      </c>
      <c r="M623">
        <v>-9.66</v>
      </c>
      <c r="N623">
        <v>-7.39</v>
      </c>
      <c r="O623">
        <v>62</v>
      </c>
      <c r="P623" t="s">
        <v>27</v>
      </c>
      <c r="Q623" t="s">
        <v>34</v>
      </c>
      <c r="R623" t="s">
        <v>29</v>
      </c>
      <c r="S623">
        <v>2018</v>
      </c>
      <c r="T623" t="s">
        <v>30</v>
      </c>
      <c r="U623">
        <v>54312</v>
      </c>
      <c r="V623">
        <v>72.95</v>
      </c>
      <c r="W623">
        <v>59.54</v>
      </c>
      <c r="X623">
        <v>93.82</v>
      </c>
      <c r="Y623">
        <v>82.79</v>
      </c>
    </row>
    <row r="624" spans="1:25" x14ac:dyDescent="0.3">
      <c r="A624" t="s">
        <v>373</v>
      </c>
      <c r="B624" t="str">
        <f t="shared" si="9"/>
        <v>Dec</v>
      </c>
      <c r="C624" t="s">
        <v>90</v>
      </c>
      <c r="D624" t="s">
        <v>91</v>
      </c>
      <c r="E624">
        <v>224548244747.28</v>
      </c>
      <c r="F624">
        <v>34153.24</v>
      </c>
      <c r="G624">
        <v>26975144101.849998</v>
      </c>
      <c r="H624">
        <v>5798763</v>
      </c>
      <c r="I624">
        <v>6469748</v>
      </c>
      <c r="J624">
        <v>7384756</v>
      </c>
      <c r="K624">
        <v>26.95</v>
      </c>
      <c r="L624">
        <v>-2.38</v>
      </c>
      <c r="M624">
        <v>-19.21</v>
      </c>
      <c r="N624">
        <v>35.67</v>
      </c>
      <c r="O624">
        <v>165</v>
      </c>
      <c r="P624" t="s">
        <v>27</v>
      </c>
      <c r="Q624" t="s">
        <v>34</v>
      </c>
      <c r="R624" t="s">
        <v>74</v>
      </c>
      <c r="S624">
        <v>2012</v>
      </c>
      <c r="T624" t="s">
        <v>30</v>
      </c>
      <c r="U624">
        <v>43017</v>
      </c>
      <c r="V624">
        <v>99.56</v>
      </c>
      <c r="W624">
        <v>45.71</v>
      </c>
      <c r="X624">
        <v>80.38</v>
      </c>
      <c r="Y624">
        <v>95.66</v>
      </c>
    </row>
    <row r="625" spans="1:25" x14ac:dyDescent="0.3">
      <c r="A625" t="s">
        <v>144</v>
      </c>
      <c r="B625" t="str">
        <f t="shared" si="9"/>
        <v>Dec</v>
      </c>
      <c r="C625" t="s">
        <v>38</v>
      </c>
      <c r="D625" t="s">
        <v>39</v>
      </c>
      <c r="E625">
        <v>796903921484.48999</v>
      </c>
      <c r="F625">
        <v>16281.97</v>
      </c>
      <c r="G625">
        <v>40755319160.589996</v>
      </c>
      <c r="H625">
        <v>17912178</v>
      </c>
      <c r="I625">
        <v>18769442</v>
      </c>
      <c r="J625">
        <v>19767759</v>
      </c>
      <c r="K625">
        <v>36.21</v>
      </c>
      <c r="L625">
        <v>-0.95</v>
      </c>
      <c r="M625">
        <v>2.31</v>
      </c>
      <c r="N625">
        <v>-3.9</v>
      </c>
      <c r="O625">
        <v>150</v>
      </c>
      <c r="P625" t="s">
        <v>40</v>
      </c>
      <c r="Q625" t="s">
        <v>34</v>
      </c>
      <c r="R625" t="s">
        <v>74</v>
      </c>
      <c r="S625">
        <v>2018</v>
      </c>
      <c r="T625" t="s">
        <v>36</v>
      </c>
      <c r="U625">
        <v>39515</v>
      </c>
      <c r="V625">
        <v>70.98</v>
      </c>
      <c r="W625">
        <v>72.42</v>
      </c>
      <c r="X625">
        <v>19.170000000000002</v>
      </c>
      <c r="Y625">
        <v>55.11</v>
      </c>
    </row>
    <row r="626" spans="1:25" x14ac:dyDescent="0.3">
      <c r="A626" t="s">
        <v>359</v>
      </c>
      <c r="B626" t="str">
        <f t="shared" si="9"/>
        <v>May</v>
      </c>
      <c r="C626" t="s">
        <v>38</v>
      </c>
      <c r="D626" t="s">
        <v>39</v>
      </c>
      <c r="E626">
        <v>212931931048.16</v>
      </c>
      <c r="F626">
        <v>67693.5</v>
      </c>
      <c r="G626">
        <v>46055549188.989998</v>
      </c>
      <c r="H626">
        <v>8562216</v>
      </c>
      <c r="I626">
        <v>9034023</v>
      </c>
      <c r="J626">
        <v>9872231</v>
      </c>
      <c r="K626">
        <v>35.479999999999997</v>
      </c>
      <c r="L626">
        <v>0.7</v>
      </c>
      <c r="M626">
        <v>11.79</v>
      </c>
      <c r="N626">
        <v>-14.52</v>
      </c>
      <c r="O626">
        <v>73</v>
      </c>
      <c r="P626" t="s">
        <v>46</v>
      </c>
      <c r="Q626" t="s">
        <v>34</v>
      </c>
      <c r="R626" t="s">
        <v>74</v>
      </c>
      <c r="S626">
        <v>2014</v>
      </c>
      <c r="T626" t="s">
        <v>36</v>
      </c>
      <c r="U626">
        <v>50189</v>
      </c>
      <c r="V626">
        <v>21.48</v>
      </c>
      <c r="W626">
        <v>43.52</v>
      </c>
      <c r="X626">
        <v>89.32</v>
      </c>
      <c r="Y626">
        <v>38.65</v>
      </c>
    </row>
    <row r="627" spans="1:25" x14ac:dyDescent="0.3">
      <c r="A627" t="s">
        <v>196</v>
      </c>
      <c r="B627" t="str">
        <f t="shared" si="9"/>
        <v>Apr</v>
      </c>
      <c r="C627" t="s">
        <v>68</v>
      </c>
      <c r="D627" t="s">
        <v>69</v>
      </c>
      <c r="E627">
        <v>532663144819.19</v>
      </c>
      <c r="F627">
        <v>23836.19</v>
      </c>
      <c r="G627">
        <v>41291683268.010002</v>
      </c>
      <c r="H627">
        <v>7267792</v>
      </c>
      <c r="I627">
        <v>12174327</v>
      </c>
      <c r="J627">
        <v>12454161</v>
      </c>
      <c r="K627">
        <v>15.21</v>
      </c>
      <c r="L627">
        <v>0.68</v>
      </c>
      <c r="M627">
        <v>-7.87</v>
      </c>
      <c r="N627">
        <v>-12.42</v>
      </c>
      <c r="O627">
        <v>118</v>
      </c>
      <c r="P627" t="s">
        <v>27</v>
      </c>
      <c r="Q627" t="s">
        <v>57</v>
      </c>
      <c r="R627" t="s">
        <v>74</v>
      </c>
      <c r="S627">
        <v>2010</v>
      </c>
      <c r="T627" t="s">
        <v>36</v>
      </c>
      <c r="U627">
        <v>32904</v>
      </c>
      <c r="V627">
        <v>51.53</v>
      </c>
      <c r="W627">
        <v>48.38</v>
      </c>
      <c r="X627">
        <v>24.97</v>
      </c>
      <c r="Y627">
        <v>31.44</v>
      </c>
    </row>
    <row r="628" spans="1:25" x14ac:dyDescent="0.3">
      <c r="A628" t="s">
        <v>347</v>
      </c>
      <c r="B628" t="str">
        <f t="shared" si="9"/>
        <v>Oct</v>
      </c>
      <c r="C628" t="s">
        <v>55</v>
      </c>
      <c r="D628" t="s">
        <v>56</v>
      </c>
      <c r="E628">
        <v>513178166438.45001</v>
      </c>
      <c r="F628">
        <v>68656.639999999999</v>
      </c>
      <c r="G628">
        <v>27877017109.970001</v>
      </c>
      <c r="H628">
        <v>18919924</v>
      </c>
      <c r="I628">
        <v>21569907</v>
      </c>
      <c r="J628">
        <v>21720027</v>
      </c>
      <c r="K628">
        <v>30.72</v>
      </c>
      <c r="L628">
        <v>0.99</v>
      </c>
      <c r="M628">
        <v>14.87</v>
      </c>
      <c r="N628">
        <v>-32.86</v>
      </c>
      <c r="O628">
        <v>98</v>
      </c>
      <c r="P628" t="s">
        <v>53</v>
      </c>
      <c r="Q628" t="s">
        <v>57</v>
      </c>
      <c r="R628" t="s">
        <v>42</v>
      </c>
      <c r="S628">
        <v>2018</v>
      </c>
      <c r="T628" t="s">
        <v>58</v>
      </c>
      <c r="U628">
        <v>25468</v>
      </c>
      <c r="V628">
        <v>68.45</v>
      </c>
      <c r="W628">
        <v>96.32</v>
      </c>
      <c r="X628">
        <v>10.56</v>
      </c>
      <c r="Y628">
        <v>47.6</v>
      </c>
    </row>
    <row r="629" spans="1:25" x14ac:dyDescent="0.3">
      <c r="A629" t="s">
        <v>368</v>
      </c>
      <c r="B629" t="str">
        <f t="shared" si="9"/>
        <v>Jan</v>
      </c>
      <c r="C629" t="s">
        <v>25</v>
      </c>
      <c r="D629" t="s">
        <v>26</v>
      </c>
      <c r="E629">
        <v>10269639430.9</v>
      </c>
      <c r="F629">
        <v>25376.63</v>
      </c>
      <c r="G629">
        <v>22775576064.330002</v>
      </c>
      <c r="H629">
        <v>7270377</v>
      </c>
      <c r="I629">
        <v>10400452</v>
      </c>
      <c r="J629">
        <v>11266236</v>
      </c>
      <c r="K629">
        <v>42.49</v>
      </c>
      <c r="L629">
        <v>2.27</v>
      </c>
      <c r="M629">
        <v>12.09</v>
      </c>
      <c r="N629">
        <v>25.3</v>
      </c>
      <c r="O629">
        <v>170</v>
      </c>
      <c r="P629" t="s">
        <v>46</v>
      </c>
      <c r="Q629" t="s">
        <v>34</v>
      </c>
      <c r="R629" t="s">
        <v>42</v>
      </c>
      <c r="S629">
        <v>2021</v>
      </c>
      <c r="T629" t="s">
        <v>30</v>
      </c>
      <c r="U629">
        <v>6941</v>
      </c>
      <c r="V629">
        <v>48.46</v>
      </c>
      <c r="W629">
        <v>75.400000000000006</v>
      </c>
      <c r="X629">
        <v>34.47</v>
      </c>
      <c r="Y629">
        <v>28.9</v>
      </c>
    </row>
    <row r="630" spans="1:25" x14ac:dyDescent="0.3">
      <c r="A630" t="s">
        <v>186</v>
      </c>
      <c r="B630" t="str">
        <f t="shared" si="9"/>
        <v>Sep</v>
      </c>
      <c r="C630" t="s">
        <v>68</v>
      </c>
      <c r="D630" t="s">
        <v>69</v>
      </c>
      <c r="E630">
        <v>681505303737.79004</v>
      </c>
      <c r="F630">
        <v>63253.95</v>
      </c>
      <c r="G630">
        <v>39373988315.900002</v>
      </c>
      <c r="H630">
        <v>16274021</v>
      </c>
      <c r="I630">
        <v>20214175</v>
      </c>
      <c r="J630">
        <v>20797546</v>
      </c>
      <c r="K630">
        <v>17.11</v>
      </c>
      <c r="L630">
        <v>2.64</v>
      </c>
      <c r="M630">
        <v>17.850000000000001</v>
      </c>
      <c r="N630">
        <v>-18.989999999999998</v>
      </c>
      <c r="O630">
        <v>122</v>
      </c>
      <c r="P630" t="s">
        <v>46</v>
      </c>
      <c r="Q630" t="s">
        <v>57</v>
      </c>
      <c r="R630" t="s">
        <v>35</v>
      </c>
      <c r="S630">
        <v>2011</v>
      </c>
      <c r="T630" t="s">
        <v>36</v>
      </c>
      <c r="U630">
        <v>59411</v>
      </c>
      <c r="V630">
        <v>57.58</v>
      </c>
      <c r="W630">
        <v>90.9</v>
      </c>
      <c r="X630">
        <v>52.23</v>
      </c>
      <c r="Y630">
        <v>90.03</v>
      </c>
    </row>
    <row r="631" spans="1:25" x14ac:dyDescent="0.3">
      <c r="A631" t="s">
        <v>374</v>
      </c>
      <c r="B631" t="str">
        <f t="shared" si="9"/>
        <v>Jul</v>
      </c>
      <c r="C631" t="s">
        <v>32</v>
      </c>
      <c r="D631" t="s">
        <v>33</v>
      </c>
      <c r="E631">
        <v>543169874717.16998</v>
      </c>
      <c r="F631">
        <v>24389.07</v>
      </c>
      <c r="G631">
        <v>12264584752.299999</v>
      </c>
      <c r="H631">
        <v>10611497</v>
      </c>
      <c r="I631">
        <v>14632809</v>
      </c>
      <c r="J631">
        <v>15361610</v>
      </c>
      <c r="K631">
        <v>54</v>
      </c>
      <c r="L631">
        <v>0.31</v>
      </c>
      <c r="M631">
        <v>-10.130000000000001</v>
      </c>
      <c r="N631">
        <v>9.42</v>
      </c>
      <c r="O631">
        <v>14</v>
      </c>
      <c r="P631" t="s">
        <v>40</v>
      </c>
      <c r="Q631" t="s">
        <v>47</v>
      </c>
      <c r="R631" t="s">
        <v>64</v>
      </c>
      <c r="S631">
        <v>2017</v>
      </c>
      <c r="T631" t="s">
        <v>36</v>
      </c>
      <c r="U631">
        <v>36923</v>
      </c>
      <c r="V631">
        <v>34.659999999999997</v>
      </c>
      <c r="W631">
        <v>42.48</v>
      </c>
      <c r="X631">
        <v>72.27</v>
      </c>
      <c r="Y631">
        <v>22.85</v>
      </c>
    </row>
    <row r="632" spans="1:25" x14ac:dyDescent="0.3">
      <c r="A632" t="s">
        <v>247</v>
      </c>
      <c r="B632" t="str">
        <f t="shared" si="9"/>
        <v>Oct</v>
      </c>
      <c r="C632" t="s">
        <v>68</v>
      </c>
      <c r="D632" t="s">
        <v>69</v>
      </c>
      <c r="E632">
        <v>13821297929.75</v>
      </c>
      <c r="F632">
        <v>61448</v>
      </c>
      <c r="G632">
        <v>22959818973.049999</v>
      </c>
      <c r="H632">
        <v>4565391</v>
      </c>
      <c r="I632">
        <v>9547052</v>
      </c>
      <c r="J632">
        <v>9865043</v>
      </c>
      <c r="K632">
        <v>2.5099999999999998</v>
      </c>
      <c r="L632">
        <v>2.34</v>
      </c>
      <c r="M632">
        <v>-0.86</v>
      </c>
      <c r="N632">
        <v>20.12</v>
      </c>
      <c r="O632">
        <v>71</v>
      </c>
      <c r="P632" t="s">
        <v>40</v>
      </c>
      <c r="Q632" t="s">
        <v>28</v>
      </c>
      <c r="R632" t="s">
        <v>42</v>
      </c>
      <c r="S632">
        <v>2021</v>
      </c>
      <c r="T632" t="s">
        <v>36</v>
      </c>
      <c r="U632">
        <v>27404</v>
      </c>
      <c r="V632">
        <v>45.55</v>
      </c>
      <c r="W632">
        <v>93.33</v>
      </c>
      <c r="X632">
        <v>83.91</v>
      </c>
      <c r="Y632">
        <v>24.26</v>
      </c>
    </row>
    <row r="633" spans="1:25" x14ac:dyDescent="0.3">
      <c r="A633" t="s">
        <v>375</v>
      </c>
      <c r="B633" t="str">
        <f t="shared" si="9"/>
        <v>Jun</v>
      </c>
      <c r="C633" t="s">
        <v>90</v>
      </c>
      <c r="D633" t="s">
        <v>91</v>
      </c>
      <c r="E633">
        <v>752976852458.97998</v>
      </c>
      <c r="F633">
        <v>22917.35</v>
      </c>
      <c r="G633">
        <v>36706518148.980003</v>
      </c>
      <c r="H633">
        <v>12038981</v>
      </c>
      <c r="I633">
        <v>12250038</v>
      </c>
      <c r="J633">
        <v>12543197</v>
      </c>
      <c r="K633">
        <v>36.950000000000003</v>
      </c>
      <c r="L633">
        <v>-0.42</v>
      </c>
      <c r="M633">
        <v>-1.1399999999999999</v>
      </c>
      <c r="N633">
        <v>27.33</v>
      </c>
      <c r="O633">
        <v>47</v>
      </c>
      <c r="P633" t="s">
        <v>51</v>
      </c>
      <c r="Q633" t="s">
        <v>34</v>
      </c>
      <c r="R633" t="s">
        <v>64</v>
      </c>
      <c r="S633">
        <v>2010</v>
      </c>
      <c r="T633" t="s">
        <v>30</v>
      </c>
      <c r="U633">
        <v>26167</v>
      </c>
      <c r="V633">
        <v>44.75</v>
      </c>
      <c r="W633">
        <v>56.72</v>
      </c>
      <c r="X633">
        <v>24.27</v>
      </c>
      <c r="Y633">
        <v>63.39</v>
      </c>
    </row>
    <row r="634" spans="1:25" x14ac:dyDescent="0.3">
      <c r="A634" t="s">
        <v>279</v>
      </c>
      <c r="B634" t="str">
        <f t="shared" si="9"/>
        <v>Nov</v>
      </c>
      <c r="C634" t="s">
        <v>78</v>
      </c>
      <c r="D634" t="s">
        <v>79</v>
      </c>
      <c r="E634">
        <v>839732941027.18994</v>
      </c>
      <c r="F634">
        <v>64322.45</v>
      </c>
      <c r="G634">
        <v>49650394563.919998</v>
      </c>
      <c r="H634">
        <v>14618284</v>
      </c>
      <c r="I634">
        <v>14772327</v>
      </c>
      <c r="J634">
        <v>15108085</v>
      </c>
      <c r="K634">
        <v>40.19</v>
      </c>
      <c r="L634">
        <v>4.6399999999999997</v>
      </c>
      <c r="M634">
        <v>1.71</v>
      </c>
      <c r="N634">
        <v>-15.23</v>
      </c>
      <c r="O634">
        <v>49</v>
      </c>
      <c r="P634" t="s">
        <v>46</v>
      </c>
      <c r="Q634" t="s">
        <v>34</v>
      </c>
      <c r="R634" t="s">
        <v>35</v>
      </c>
      <c r="S634">
        <v>2015</v>
      </c>
      <c r="T634" t="s">
        <v>36</v>
      </c>
      <c r="U634">
        <v>64643</v>
      </c>
      <c r="V634">
        <v>36.61</v>
      </c>
      <c r="W634">
        <v>53.48</v>
      </c>
      <c r="X634">
        <v>62.47</v>
      </c>
      <c r="Y634">
        <v>29.1</v>
      </c>
    </row>
    <row r="635" spans="1:25" x14ac:dyDescent="0.3">
      <c r="A635" t="s">
        <v>376</v>
      </c>
      <c r="B635" t="str">
        <f t="shared" si="9"/>
        <v>Aug</v>
      </c>
      <c r="C635" t="s">
        <v>60</v>
      </c>
      <c r="D635" t="s">
        <v>61</v>
      </c>
      <c r="E635">
        <v>809310399170.89001</v>
      </c>
      <c r="F635">
        <v>12273.44</v>
      </c>
      <c r="G635">
        <v>1499355044.6800001</v>
      </c>
      <c r="H635">
        <v>7556422</v>
      </c>
      <c r="I635">
        <v>11204258</v>
      </c>
      <c r="J635">
        <v>11847510</v>
      </c>
      <c r="K635">
        <v>36.17</v>
      </c>
      <c r="L635">
        <v>0.21</v>
      </c>
      <c r="M635">
        <v>19.63</v>
      </c>
      <c r="N635">
        <v>13.94</v>
      </c>
      <c r="O635">
        <v>191</v>
      </c>
      <c r="P635" t="s">
        <v>53</v>
      </c>
      <c r="Q635" t="s">
        <v>34</v>
      </c>
      <c r="R635" t="s">
        <v>35</v>
      </c>
      <c r="S635">
        <v>2022</v>
      </c>
      <c r="T635" t="s">
        <v>30</v>
      </c>
      <c r="U635">
        <v>16992</v>
      </c>
      <c r="V635">
        <v>71.23</v>
      </c>
      <c r="W635">
        <v>66.150000000000006</v>
      </c>
      <c r="X635">
        <v>35.619999999999997</v>
      </c>
      <c r="Y635">
        <v>95.96</v>
      </c>
    </row>
    <row r="636" spans="1:25" x14ac:dyDescent="0.3">
      <c r="A636" t="s">
        <v>360</v>
      </c>
      <c r="B636" t="str">
        <f t="shared" si="9"/>
        <v>Mar</v>
      </c>
      <c r="C636" t="s">
        <v>78</v>
      </c>
      <c r="D636" t="s">
        <v>79</v>
      </c>
      <c r="E636">
        <v>253227079552.82001</v>
      </c>
      <c r="F636">
        <v>55804.91</v>
      </c>
      <c r="G636">
        <v>31871061246.91</v>
      </c>
      <c r="H636">
        <v>1462677</v>
      </c>
      <c r="I636">
        <v>5667489</v>
      </c>
      <c r="J636">
        <v>6625221</v>
      </c>
      <c r="K636">
        <v>38.35</v>
      </c>
      <c r="L636">
        <v>0.92</v>
      </c>
      <c r="M636">
        <v>13.5</v>
      </c>
      <c r="N636">
        <v>-9.26</v>
      </c>
      <c r="O636">
        <v>188</v>
      </c>
      <c r="P636" t="s">
        <v>46</v>
      </c>
      <c r="Q636" t="s">
        <v>34</v>
      </c>
      <c r="R636" t="s">
        <v>74</v>
      </c>
      <c r="S636">
        <v>2011</v>
      </c>
      <c r="T636" t="s">
        <v>36</v>
      </c>
      <c r="U636">
        <v>2492</v>
      </c>
      <c r="V636">
        <v>51.57</v>
      </c>
      <c r="W636">
        <v>71.42</v>
      </c>
      <c r="X636">
        <v>79.97</v>
      </c>
      <c r="Y636">
        <v>76.59</v>
      </c>
    </row>
    <row r="637" spans="1:25" x14ac:dyDescent="0.3">
      <c r="A637" t="s">
        <v>48</v>
      </c>
      <c r="B637" t="str">
        <f t="shared" si="9"/>
        <v>Dec</v>
      </c>
      <c r="C637" t="s">
        <v>38</v>
      </c>
      <c r="D637" t="s">
        <v>39</v>
      </c>
      <c r="E637">
        <v>668960649015.04004</v>
      </c>
      <c r="F637">
        <v>16169.19</v>
      </c>
      <c r="G637">
        <v>40891343770.809998</v>
      </c>
      <c r="H637">
        <v>4152533</v>
      </c>
      <c r="I637">
        <v>6522195</v>
      </c>
      <c r="J637">
        <v>7138036</v>
      </c>
      <c r="K637">
        <v>22.16</v>
      </c>
      <c r="L637">
        <v>0.25</v>
      </c>
      <c r="M637">
        <v>-17.649999999999999</v>
      </c>
      <c r="N637">
        <v>-38.25</v>
      </c>
      <c r="O637">
        <v>97</v>
      </c>
      <c r="P637" t="s">
        <v>27</v>
      </c>
      <c r="Q637" t="s">
        <v>34</v>
      </c>
      <c r="R637" t="s">
        <v>42</v>
      </c>
      <c r="S637">
        <v>2020</v>
      </c>
      <c r="T637" t="s">
        <v>36</v>
      </c>
      <c r="U637">
        <v>25904</v>
      </c>
      <c r="V637">
        <v>54.12</v>
      </c>
      <c r="W637">
        <v>24.2</v>
      </c>
      <c r="X637">
        <v>59.19</v>
      </c>
      <c r="Y637">
        <v>71.02</v>
      </c>
    </row>
    <row r="638" spans="1:25" x14ac:dyDescent="0.3">
      <c r="A638" t="s">
        <v>302</v>
      </c>
      <c r="B638" t="str">
        <f t="shared" si="9"/>
        <v>Feb</v>
      </c>
      <c r="C638" t="s">
        <v>44</v>
      </c>
      <c r="D638" t="s">
        <v>45</v>
      </c>
      <c r="E638">
        <v>11592325402.030001</v>
      </c>
      <c r="F638">
        <v>66919.16</v>
      </c>
      <c r="G638">
        <v>16740598176.77</v>
      </c>
      <c r="H638">
        <v>8978495</v>
      </c>
      <c r="I638">
        <v>11510549</v>
      </c>
      <c r="J638">
        <v>12378585</v>
      </c>
      <c r="K638">
        <v>39.46</v>
      </c>
      <c r="L638">
        <v>-1.7</v>
      </c>
      <c r="M638">
        <v>-8.74</v>
      </c>
      <c r="N638">
        <v>-2.8</v>
      </c>
      <c r="O638">
        <v>105</v>
      </c>
      <c r="P638" t="s">
        <v>27</v>
      </c>
      <c r="Q638" t="s">
        <v>34</v>
      </c>
      <c r="R638" t="s">
        <v>29</v>
      </c>
      <c r="S638">
        <v>2010</v>
      </c>
      <c r="T638" t="s">
        <v>36</v>
      </c>
      <c r="U638">
        <v>326</v>
      </c>
      <c r="V638">
        <v>47.33</v>
      </c>
      <c r="W638">
        <v>99.3</v>
      </c>
      <c r="X638">
        <v>41.36</v>
      </c>
      <c r="Y638">
        <v>18.14</v>
      </c>
    </row>
    <row r="639" spans="1:25" x14ac:dyDescent="0.3">
      <c r="A639" t="s">
        <v>217</v>
      </c>
      <c r="B639" t="str">
        <f t="shared" si="9"/>
        <v>Aug</v>
      </c>
      <c r="C639" t="s">
        <v>60</v>
      </c>
      <c r="D639" t="s">
        <v>61</v>
      </c>
      <c r="E639">
        <v>674381626073.95996</v>
      </c>
      <c r="F639">
        <v>57070.080000000002</v>
      </c>
      <c r="G639">
        <v>2485672495.8499999</v>
      </c>
      <c r="H639">
        <v>8920964</v>
      </c>
      <c r="I639">
        <v>11506669</v>
      </c>
      <c r="J639">
        <v>12087602</v>
      </c>
      <c r="K639">
        <v>31.75</v>
      </c>
      <c r="L639">
        <v>-2.92</v>
      </c>
      <c r="M639">
        <v>4.7</v>
      </c>
      <c r="N639">
        <v>-38.840000000000003</v>
      </c>
      <c r="O639">
        <v>103</v>
      </c>
      <c r="P639" t="s">
        <v>40</v>
      </c>
      <c r="Q639" t="s">
        <v>34</v>
      </c>
      <c r="R639" t="s">
        <v>74</v>
      </c>
      <c r="S639">
        <v>2017</v>
      </c>
      <c r="T639" t="s">
        <v>30</v>
      </c>
      <c r="U639">
        <v>50303</v>
      </c>
      <c r="V639">
        <v>11.66</v>
      </c>
      <c r="W639">
        <v>31.56</v>
      </c>
      <c r="X639">
        <v>28.15</v>
      </c>
      <c r="Y639">
        <v>39.93</v>
      </c>
    </row>
    <row r="640" spans="1:25" x14ac:dyDescent="0.3">
      <c r="A640" t="s">
        <v>253</v>
      </c>
      <c r="B640" t="str">
        <f t="shared" si="9"/>
        <v>Jun</v>
      </c>
      <c r="C640" t="s">
        <v>25</v>
      </c>
      <c r="D640" t="s">
        <v>26</v>
      </c>
      <c r="E640">
        <v>30302190446.240002</v>
      </c>
      <c r="F640">
        <v>30129.59</v>
      </c>
      <c r="G640">
        <v>26622170131.84</v>
      </c>
      <c r="H640">
        <v>8273931</v>
      </c>
      <c r="I640">
        <v>11827254</v>
      </c>
      <c r="J640">
        <v>12376255</v>
      </c>
      <c r="K640">
        <v>31.68</v>
      </c>
      <c r="L640">
        <v>-3.2</v>
      </c>
      <c r="M640">
        <v>10.52</v>
      </c>
      <c r="N640">
        <v>-8.93</v>
      </c>
      <c r="O640">
        <v>28</v>
      </c>
      <c r="P640" t="s">
        <v>53</v>
      </c>
      <c r="Q640" t="s">
        <v>47</v>
      </c>
      <c r="R640" t="s">
        <v>64</v>
      </c>
      <c r="S640">
        <v>2013</v>
      </c>
      <c r="T640" t="s">
        <v>30</v>
      </c>
      <c r="U640">
        <v>34306</v>
      </c>
      <c r="V640">
        <v>47.73</v>
      </c>
      <c r="W640">
        <v>62.92</v>
      </c>
      <c r="X640">
        <v>45.72</v>
      </c>
      <c r="Y640">
        <v>20.64</v>
      </c>
    </row>
    <row r="641" spans="1:25" x14ac:dyDescent="0.3">
      <c r="A641" t="s">
        <v>377</v>
      </c>
      <c r="B641" t="str">
        <f t="shared" si="9"/>
        <v>Feb</v>
      </c>
      <c r="C641" t="s">
        <v>68</v>
      </c>
      <c r="D641" t="s">
        <v>69</v>
      </c>
      <c r="E641">
        <v>324280192460.81</v>
      </c>
      <c r="F641">
        <v>60192.73</v>
      </c>
      <c r="G641">
        <v>41527605844.290001</v>
      </c>
      <c r="H641">
        <v>3556044</v>
      </c>
      <c r="I641">
        <v>3804113</v>
      </c>
      <c r="J641">
        <v>3851922</v>
      </c>
      <c r="K641">
        <v>46.47</v>
      </c>
      <c r="L641">
        <v>2.38</v>
      </c>
      <c r="M641">
        <v>-18.37</v>
      </c>
      <c r="N641">
        <v>23.82</v>
      </c>
      <c r="O641">
        <v>155</v>
      </c>
      <c r="P641" t="s">
        <v>27</v>
      </c>
      <c r="Q641" t="s">
        <v>34</v>
      </c>
      <c r="R641" t="s">
        <v>42</v>
      </c>
      <c r="S641">
        <v>2012</v>
      </c>
      <c r="T641" t="s">
        <v>36</v>
      </c>
      <c r="U641">
        <v>62152</v>
      </c>
      <c r="V641">
        <v>54.35</v>
      </c>
      <c r="W641">
        <v>94.57</v>
      </c>
      <c r="X641">
        <v>85.24</v>
      </c>
      <c r="Y641">
        <v>27.99</v>
      </c>
    </row>
    <row r="642" spans="1:25" x14ac:dyDescent="0.3">
      <c r="A642" t="s">
        <v>89</v>
      </c>
      <c r="B642" t="str">
        <f t="shared" ref="B642:B705" si="10">TEXT(A642,"MMM")</f>
        <v>Aug</v>
      </c>
      <c r="C642" t="s">
        <v>32</v>
      </c>
      <c r="D642" t="s">
        <v>33</v>
      </c>
      <c r="E642">
        <v>71594728677.410004</v>
      </c>
      <c r="F642">
        <v>67298.13</v>
      </c>
      <c r="G642">
        <v>17896503045.209999</v>
      </c>
      <c r="H642">
        <v>14524474</v>
      </c>
      <c r="I642">
        <v>15215191</v>
      </c>
      <c r="J642">
        <v>16181627</v>
      </c>
      <c r="K642">
        <v>47.92</v>
      </c>
      <c r="L642">
        <v>1.95</v>
      </c>
      <c r="M642">
        <v>-9.27</v>
      </c>
      <c r="N642">
        <v>-6.31</v>
      </c>
      <c r="O642">
        <v>13</v>
      </c>
      <c r="P642" t="s">
        <v>46</v>
      </c>
      <c r="Q642" t="s">
        <v>41</v>
      </c>
      <c r="R642" t="s">
        <v>64</v>
      </c>
      <c r="S642">
        <v>2014</v>
      </c>
      <c r="T642" t="s">
        <v>36</v>
      </c>
      <c r="U642">
        <v>12680</v>
      </c>
      <c r="V642">
        <v>25.7</v>
      </c>
      <c r="W642">
        <v>77.55</v>
      </c>
      <c r="X642">
        <v>97.03</v>
      </c>
      <c r="Y642">
        <v>31.48</v>
      </c>
    </row>
    <row r="643" spans="1:25" x14ac:dyDescent="0.3">
      <c r="A643" t="s">
        <v>330</v>
      </c>
      <c r="B643" t="str">
        <f t="shared" si="10"/>
        <v>May</v>
      </c>
      <c r="C643" t="s">
        <v>32</v>
      </c>
      <c r="D643" t="s">
        <v>33</v>
      </c>
      <c r="E643">
        <v>796727027364.18994</v>
      </c>
      <c r="F643">
        <v>62657.82</v>
      </c>
      <c r="G643">
        <v>12473257975.610001</v>
      </c>
      <c r="H643">
        <v>17549132</v>
      </c>
      <c r="I643">
        <v>21586658</v>
      </c>
      <c r="J643">
        <v>22087774</v>
      </c>
      <c r="K643">
        <v>24.01</v>
      </c>
      <c r="L643">
        <v>-3.19</v>
      </c>
      <c r="M643">
        <v>14.86</v>
      </c>
      <c r="N643">
        <v>-17.82</v>
      </c>
      <c r="O643">
        <v>21</v>
      </c>
      <c r="P643" t="s">
        <v>46</v>
      </c>
      <c r="Q643" t="s">
        <v>47</v>
      </c>
      <c r="R643" t="s">
        <v>29</v>
      </c>
      <c r="S643">
        <v>2018</v>
      </c>
      <c r="T643" t="s">
        <v>36</v>
      </c>
      <c r="U643">
        <v>53982</v>
      </c>
      <c r="V643">
        <v>67.010000000000005</v>
      </c>
      <c r="W643">
        <v>71.28</v>
      </c>
      <c r="X643">
        <v>39.479999999999997</v>
      </c>
      <c r="Y643">
        <v>18.829999999999998</v>
      </c>
    </row>
    <row r="644" spans="1:25" x14ac:dyDescent="0.3">
      <c r="A644" t="s">
        <v>87</v>
      </c>
      <c r="B644" t="str">
        <f t="shared" si="10"/>
        <v>Jun</v>
      </c>
      <c r="C644" t="s">
        <v>49</v>
      </c>
      <c r="D644" t="s">
        <v>50</v>
      </c>
      <c r="E644">
        <v>671176279833.23999</v>
      </c>
      <c r="F644">
        <v>11636.98</v>
      </c>
      <c r="G644">
        <v>6531491097.1899996</v>
      </c>
      <c r="H644">
        <v>13106006</v>
      </c>
      <c r="I644">
        <v>15549799</v>
      </c>
      <c r="J644">
        <v>15817406</v>
      </c>
      <c r="K644">
        <v>56.18</v>
      </c>
      <c r="L644">
        <v>1.77</v>
      </c>
      <c r="M644">
        <v>5.74</v>
      </c>
      <c r="N644">
        <v>28.3</v>
      </c>
      <c r="O644">
        <v>149</v>
      </c>
      <c r="P644" t="s">
        <v>51</v>
      </c>
      <c r="Q644" t="s">
        <v>28</v>
      </c>
      <c r="R644" t="s">
        <v>74</v>
      </c>
      <c r="S644">
        <v>2021</v>
      </c>
      <c r="T644" t="s">
        <v>36</v>
      </c>
      <c r="U644">
        <v>8772</v>
      </c>
      <c r="V644">
        <v>85.12</v>
      </c>
      <c r="W644">
        <v>61.54</v>
      </c>
      <c r="X644">
        <v>19.989999999999998</v>
      </c>
      <c r="Y644">
        <v>42.65</v>
      </c>
    </row>
    <row r="645" spans="1:25" x14ac:dyDescent="0.3">
      <c r="A645" t="s">
        <v>352</v>
      </c>
      <c r="B645" t="str">
        <f t="shared" si="10"/>
        <v>Oct</v>
      </c>
      <c r="C645" t="s">
        <v>90</v>
      </c>
      <c r="D645" t="s">
        <v>91</v>
      </c>
      <c r="E645">
        <v>453451929489.98999</v>
      </c>
      <c r="F645">
        <v>63484.09</v>
      </c>
      <c r="G645">
        <v>21129032073.540001</v>
      </c>
      <c r="H645">
        <v>3610422</v>
      </c>
      <c r="I645">
        <v>8495428</v>
      </c>
      <c r="J645">
        <v>9327857</v>
      </c>
      <c r="K645">
        <v>41.73</v>
      </c>
      <c r="L645">
        <v>0.38</v>
      </c>
      <c r="M645">
        <v>9.44</v>
      </c>
      <c r="N645">
        <v>15.44</v>
      </c>
      <c r="O645">
        <v>42</v>
      </c>
      <c r="P645" t="s">
        <v>46</v>
      </c>
      <c r="Q645" t="s">
        <v>34</v>
      </c>
      <c r="R645" t="s">
        <v>35</v>
      </c>
      <c r="S645">
        <v>2021</v>
      </c>
      <c r="T645" t="s">
        <v>30</v>
      </c>
      <c r="U645">
        <v>34542</v>
      </c>
      <c r="V645">
        <v>53.85</v>
      </c>
      <c r="W645">
        <v>54.98</v>
      </c>
      <c r="X645">
        <v>64</v>
      </c>
      <c r="Y645">
        <v>54.28</v>
      </c>
    </row>
    <row r="646" spans="1:25" x14ac:dyDescent="0.3">
      <c r="A646" t="s">
        <v>378</v>
      </c>
      <c r="B646" t="str">
        <f t="shared" si="10"/>
        <v>Jan</v>
      </c>
      <c r="C646" t="s">
        <v>25</v>
      </c>
      <c r="D646" t="s">
        <v>26</v>
      </c>
      <c r="E646">
        <v>352846835679.09998</v>
      </c>
      <c r="F646">
        <v>37869.629999999997</v>
      </c>
      <c r="G646">
        <v>8291921351.9899998</v>
      </c>
      <c r="H646">
        <v>12571357</v>
      </c>
      <c r="I646">
        <v>16852013</v>
      </c>
      <c r="J646">
        <v>17737231</v>
      </c>
      <c r="K646">
        <v>16.809999999999999</v>
      </c>
      <c r="L646">
        <v>-0.77</v>
      </c>
      <c r="M646">
        <v>-4.41</v>
      </c>
      <c r="N646">
        <v>-22.59</v>
      </c>
      <c r="O646">
        <v>57</v>
      </c>
      <c r="P646" t="s">
        <v>46</v>
      </c>
      <c r="Q646" t="s">
        <v>28</v>
      </c>
      <c r="R646" t="s">
        <v>35</v>
      </c>
      <c r="S646">
        <v>2012</v>
      </c>
      <c r="T646" t="s">
        <v>30</v>
      </c>
      <c r="U646">
        <v>25177</v>
      </c>
      <c r="V646">
        <v>64.81</v>
      </c>
      <c r="W646">
        <v>74.599999999999994</v>
      </c>
      <c r="X646">
        <v>65.959999999999994</v>
      </c>
      <c r="Y646">
        <v>11.43</v>
      </c>
    </row>
    <row r="647" spans="1:25" x14ac:dyDescent="0.3">
      <c r="A647" t="s">
        <v>270</v>
      </c>
      <c r="B647" t="str">
        <f t="shared" si="10"/>
        <v>May</v>
      </c>
      <c r="C647" t="s">
        <v>25</v>
      </c>
      <c r="D647" t="s">
        <v>26</v>
      </c>
      <c r="E647">
        <v>885614371140.43994</v>
      </c>
      <c r="F647">
        <v>41302.160000000003</v>
      </c>
      <c r="G647">
        <v>951510109.33000004</v>
      </c>
      <c r="H647">
        <v>17764545</v>
      </c>
      <c r="I647">
        <v>19608638</v>
      </c>
      <c r="J647">
        <v>19955387</v>
      </c>
      <c r="K647">
        <v>55.48</v>
      </c>
      <c r="L647">
        <v>-2.29</v>
      </c>
      <c r="M647">
        <v>17.86</v>
      </c>
      <c r="N647">
        <v>-16.079999999999998</v>
      </c>
      <c r="O647">
        <v>105</v>
      </c>
      <c r="P647" t="s">
        <v>40</v>
      </c>
      <c r="Q647" t="s">
        <v>28</v>
      </c>
      <c r="R647" t="s">
        <v>35</v>
      </c>
      <c r="S647">
        <v>2011</v>
      </c>
      <c r="T647" t="s">
        <v>30</v>
      </c>
      <c r="U647">
        <v>4168</v>
      </c>
      <c r="V647">
        <v>13.52</v>
      </c>
      <c r="W647">
        <v>87.12</v>
      </c>
      <c r="X647">
        <v>76.44</v>
      </c>
      <c r="Y647">
        <v>38.590000000000003</v>
      </c>
    </row>
    <row r="648" spans="1:25" x14ac:dyDescent="0.3">
      <c r="A648" t="s">
        <v>379</v>
      </c>
      <c r="B648" t="str">
        <f t="shared" si="10"/>
        <v>Jul</v>
      </c>
      <c r="C648" t="s">
        <v>68</v>
      </c>
      <c r="D648" t="s">
        <v>69</v>
      </c>
      <c r="E648">
        <v>222927799697.17001</v>
      </c>
      <c r="F648">
        <v>24688.16</v>
      </c>
      <c r="G648">
        <v>34075108631.650002</v>
      </c>
      <c r="H648">
        <v>2819962</v>
      </c>
      <c r="I648">
        <v>6683927</v>
      </c>
      <c r="J648">
        <v>6918893</v>
      </c>
      <c r="K648">
        <v>5.19</v>
      </c>
      <c r="L648">
        <v>-1.34</v>
      </c>
      <c r="M648">
        <v>-8.36</v>
      </c>
      <c r="N648">
        <v>-19.809999999999999</v>
      </c>
      <c r="O648">
        <v>187</v>
      </c>
      <c r="P648" t="s">
        <v>27</v>
      </c>
      <c r="Q648" t="s">
        <v>28</v>
      </c>
      <c r="R648" t="s">
        <v>29</v>
      </c>
      <c r="S648">
        <v>2018</v>
      </c>
      <c r="T648" t="s">
        <v>36</v>
      </c>
      <c r="U648">
        <v>48303</v>
      </c>
      <c r="V648">
        <v>64.569999999999993</v>
      </c>
      <c r="W648">
        <v>91.8</v>
      </c>
      <c r="X648">
        <v>85.07</v>
      </c>
      <c r="Y648">
        <v>88.89</v>
      </c>
    </row>
    <row r="649" spans="1:25" x14ac:dyDescent="0.3">
      <c r="A649" t="s">
        <v>135</v>
      </c>
      <c r="B649" t="str">
        <f t="shared" si="10"/>
        <v>Nov</v>
      </c>
      <c r="C649" t="s">
        <v>49</v>
      </c>
      <c r="D649" t="s">
        <v>50</v>
      </c>
      <c r="E649">
        <v>479062428952.84003</v>
      </c>
      <c r="F649">
        <v>34776.160000000003</v>
      </c>
      <c r="G649">
        <v>4753254565.29</v>
      </c>
      <c r="H649">
        <v>17352391</v>
      </c>
      <c r="I649">
        <v>22322324</v>
      </c>
      <c r="J649">
        <v>22969199</v>
      </c>
      <c r="K649">
        <v>47.74</v>
      </c>
      <c r="L649">
        <v>2.68</v>
      </c>
      <c r="M649">
        <v>-18.66</v>
      </c>
      <c r="N649">
        <v>17.190000000000001</v>
      </c>
      <c r="O649">
        <v>130</v>
      </c>
      <c r="P649" t="s">
        <v>46</v>
      </c>
      <c r="Q649" t="s">
        <v>34</v>
      </c>
      <c r="R649" t="s">
        <v>64</v>
      </c>
      <c r="S649">
        <v>2016</v>
      </c>
      <c r="T649" t="s">
        <v>36</v>
      </c>
      <c r="U649">
        <v>28428</v>
      </c>
      <c r="V649">
        <v>29.98</v>
      </c>
      <c r="W649">
        <v>82.49</v>
      </c>
      <c r="X649">
        <v>36.79</v>
      </c>
      <c r="Y649">
        <v>66.290000000000006</v>
      </c>
    </row>
    <row r="650" spans="1:25" x14ac:dyDescent="0.3">
      <c r="A650" t="s">
        <v>77</v>
      </c>
      <c r="B650" t="str">
        <f t="shared" si="10"/>
        <v>Jan</v>
      </c>
      <c r="C650" t="s">
        <v>78</v>
      </c>
      <c r="D650" t="s">
        <v>79</v>
      </c>
      <c r="E650">
        <v>820142245615.32996</v>
      </c>
      <c r="F650">
        <v>68741.02</v>
      </c>
      <c r="G650">
        <v>23359781630.720001</v>
      </c>
      <c r="H650">
        <v>18274322</v>
      </c>
      <c r="I650">
        <v>20363665</v>
      </c>
      <c r="J650">
        <v>21069516</v>
      </c>
      <c r="K650">
        <v>23.6</v>
      </c>
      <c r="L650">
        <v>-2.93</v>
      </c>
      <c r="M650">
        <v>6.78</v>
      </c>
      <c r="N650">
        <v>-23</v>
      </c>
      <c r="O650">
        <v>61</v>
      </c>
      <c r="P650" t="s">
        <v>53</v>
      </c>
      <c r="Q650" t="s">
        <v>41</v>
      </c>
      <c r="R650" t="s">
        <v>35</v>
      </c>
      <c r="S650">
        <v>2011</v>
      </c>
      <c r="T650" t="s">
        <v>36</v>
      </c>
      <c r="U650">
        <v>21134</v>
      </c>
      <c r="V650">
        <v>41.61</v>
      </c>
      <c r="W650">
        <v>61.39</v>
      </c>
      <c r="X650">
        <v>49.09</v>
      </c>
      <c r="Y650">
        <v>42.85</v>
      </c>
    </row>
    <row r="651" spans="1:25" x14ac:dyDescent="0.3">
      <c r="A651" t="s">
        <v>346</v>
      </c>
      <c r="B651" t="str">
        <f t="shared" si="10"/>
        <v>Sep</v>
      </c>
      <c r="C651" t="s">
        <v>55</v>
      </c>
      <c r="D651" t="s">
        <v>56</v>
      </c>
      <c r="E651">
        <v>475628738746.57001</v>
      </c>
      <c r="F651">
        <v>19900.990000000002</v>
      </c>
      <c r="G651">
        <v>31243082261.389999</v>
      </c>
      <c r="H651">
        <v>10968164</v>
      </c>
      <c r="I651">
        <v>13750804</v>
      </c>
      <c r="J651">
        <v>14437261</v>
      </c>
      <c r="K651">
        <v>47.38</v>
      </c>
      <c r="L651">
        <v>-1.81</v>
      </c>
      <c r="M651">
        <v>-14.97</v>
      </c>
      <c r="N651">
        <v>-38.89</v>
      </c>
      <c r="O651">
        <v>14</v>
      </c>
      <c r="P651" t="s">
        <v>51</v>
      </c>
      <c r="Q651" t="s">
        <v>41</v>
      </c>
      <c r="R651" t="s">
        <v>42</v>
      </c>
      <c r="S651">
        <v>2021</v>
      </c>
      <c r="T651" t="s">
        <v>58</v>
      </c>
      <c r="U651">
        <v>2348</v>
      </c>
      <c r="V651">
        <v>94.62</v>
      </c>
      <c r="W651">
        <v>67.03</v>
      </c>
      <c r="X651">
        <v>75.86</v>
      </c>
      <c r="Y651">
        <v>94.03</v>
      </c>
    </row>
    <row r="652" spans="1:25" x14ac:dyDescent="0.3">
      <c r="A652" t="s">
        <v>272</v>
      </c>
      <c r="B652" t="str">
        <f t="shared" si="10"/>
        <v>Nov</v>
      </c>
      <c r="C652" t="s">
        <v>60</v>
      </c>
      <c r="D652" t="s">
        <v>61</v>
      </c>
      <c r="E652">
        <v>556170241177.47998</v>
      </c>
      <c r="F652">
        <v>56226.67</v>
      </c>
      <c r="G652">
        <v>44507652072.5</v>
      </c>
      <c r="H652">
        <v>5138715</v>
      </c>
      <c r="I652">
        <v>6856553</v>
      </c>
      <c r="J652">
        <v>7188493</v>
      </c>
      <c r="K652">
        <v>9.82</v>
      </c>
      <c r="L652">
        <v>-0.87</v>
      </c>
      <c r="M652">
        <v>15.13</v>
      </c>
      <c r="N652">
        <v>-2.96</v>
      </c>
      <c r="O652">
        <v>27</v>
      </c>
      <c r="P652" t="s">
        <v>46</v>
      </c>
      <c r="Q652" t="s">
        <v>57</v>
      </c>
      <c r="R652" t="s">
        <v>64</v>
      </c>
      <c r="S652">
        <v>2020</v>
      </c>
      <c r="T652" t="s">
        <v>30</v>
      </c>
      <c r="U652">
        <v>50919</v>
      </c>
      <c r="V652">
        <v>45.29</v>
      </c>
      <c r="W652">
        <v>53.99</v>
      </c>
      <c r="X652">
        <v>73.12</v>
      </c>
      <c r="Y652">
        <v>99.77</v>
      </c>
    </row>
    <row r="653" spans="1:25" x14ac:dyDescent="0.3">
      <c r="A653" t="s">
        <v>380</v>
      </c>
      <c r="B653" t="str">
        <f t="shared" si="10"/>
        <v>Jun</v>
      </c>
      <c r="C653" t="s">
        <v>68</v>
      </c>
      <c r="D653" t="s">
        <v>69</v>
      </c>
      <c r="E653">
        <v>708855615213.33997</v>
      </c>
      <c r="F653">
        <v>21958.87</v>
      </c>
      <c r="G653">
        <v>8061882650.1000004</v>
      </c>
      <c r="H653">
        <v>1390463</v>
      </c>
      <c r="I653">
        <v>5344136</v>
      </c>
      <c r="J653">
        <v>6135230</v>
      </c>
      <c r="K653">
        <v>3.49</v>
      </c>
      <c r="L653">
        <v>2.85</v>
      </c>
      <c r="M653">
        <v>16.48</v>
      </c>
      <c r="N653">
        <v>-36.619999999999997</v>
      </c>
      <c r="O653">
        <v>125</v>
      </c>
      <c r="P653" t="s">
        <v>53</v>
      </c>
      <c r="Q653" t="s">
        <v>57</v>
      </c>
      <c r="R653" t="s">
        <v>35</v>
      </c>
      <c r="S653">
        <v>2010</v>
      </c>
      <c r="T653" t="s">
        <v>36</v>
      </c>
      <c r="U653">
        <v>42783</v>
      </c>
      <c r="V653">
        <v>61.53</v>
      </c>
      <c r="W653">
        <v>68.459999999999994</v>
      </c>
      <c r="X653">
        <v>53.82</v>
      </c>
      <c r="Y653">
        <v>82.7</v>
      </c>
    </row>
    <row r="654" spans="1:25" x14ac:dyDescent="0.3">
      <c r="A654" t="s">
        <v>186</v>
      </c>
      <c r="B654" t="str">
        <f t="shared" si="10"/>
        <v>Sep</v>
      </c>
      <c r="C654" t="s">
        <v>90</v>
      </c>
      <c r="D654" t="s">
        <v>91</v>
      </c>
      <c r="E654">
        <v>769590004142.94995</v>
      </c>
      <c r="F654">
        <v>24500.29</v>
      </c>
      <c r="G654">
        <v>29980439742.98</v>
      </c>
      <c r="H654">
        <v>7936234</v>
      </c>
      <c r="I654">
        <v>9820929</v>
      </c>
      <c r="J654">
        <v>9977936</v>
      </c>
      <c r="K654">
        <v>23.83</v>
      </c>
      <c r="L654">
        <v>-2.02</v>
      </c>
      <c r="M654">
        <v>6.6</v>
      </c>
      <c r="N654">
        <v>-13.22</v>
      </c>
      <c r="O654">
        <v>57</v>
      </c>
      <c r="P654" t="s">
        <v>27</v>
      </c>
      <c r="Q654" t="s">
        <v>57</v>
      </c>
      <c r="R654" t="s">
        <v>29</v>
      </c>
      <c r="S654">
        <v>2015</v>
      </c>
      <c r="T654" t="s">
        <v>30</v>
      </c>
      <c r="U654">
        <v>56527</v>
      </c>
      <c r="V654">
        <v>19.899999999999999</v>
      </c>
      <c r="W654">
        <v>92.54</v>
      </c>
      <c r="X654">
        <v>40.5</v>
      </c>
      <c r="Y654">
        <v>60.92</v>
      </c>
    </row>
    <row r="655" spans="1:25" x14ac:dyDescent="0.3">
      <c r="A655" t="s">
        <v>181</v>
      </c>
      <c r="B655" t="str">
        <f t="shared" si="10"/>
        <v>Dec</v>
      </c>
      <c r="C655" t="s">
        <v>78</v>
      </c>
      <c r="D655" t="s">
        <v>79</v>
      </c>
      <c r="E655">
        <v>693529702833.56995</v>
      </c>
      <c r="F655">
        <v>17379.330000000002</v>
      </c>
      <c r="G655">
        <v>31433338078.130001</v>
      </c>
      <c r="H655">
        <v>6244609</v>
      </c>
      <c r="I655">
        <v>6932323</v>
      </c>
      <c r="J655">
        <v>7247693</v>
      </c>
      <c r="K655">
        <v>57.97</v>
      </c>
      <c r="L655">
        <v>2.52</v>
      </c>
      <c r="M655">
        <v>-5.94</v>
      </c>
      <c r="N655">
        <v>-21.46</v>
      </c>
      <c r="O655">
        <v>110</v>
      </c>
      <c r="P655" t="s">
        <v>46</v>
      </c>
      <c r="Q655" t="s">
        <v>57</v>
      </c>
      <c r="R655" t="s">
        <v>35</v>
      </c>
      <c r="S655">
        <v>2018</v>
      </c>
      <c r="T655" t="s">
        <v>36</v>
      </c>
      <c r="U655">
        <v>57596</v>
      </c>
      <c r="V655">
        <v>36.770000000000003</v>
      </c>
      <c r="W655">
        <v>58.9</v>
      </c>
      <c r="X655">
        <v>51.58</v>
      </c>
      <c r="Y655">
        <v>27.33</v>
      </c>
    </row>
    <row r="656" spans="1:25" x14ac:dyDescent="0.3">
      <c r="A656" t="s">
        <v>381</v>
      </c>
      <c r="B656" t="str">
        <f t="shared" si="10"/>
        <v>May</v>
      </c>
      <c r="C656" t="s">
        <v>38</v>
      </c>
      <c r="D656" t="s">
        <v>39</v>
      </c>
      <c r="E656">
        <v>364594190996.28998</v>
      </c>
      <c r="F656">
        <v>23166.89</v>
      </c>
      <c r="G656">
        <v>49767779323.529999</v>
      </c>
      <c r="H656">
        <v>7468640</v>
      </c>
      <c r="I656">
        <v>11984128</v>
      </c>
      <c r="J656">
        <v>12697857</v>
      </c>
      <c r="K656">
        <v>58.64</v>
      </c>
      <c r="L656">
        <v>-2.72</v>
      </c>
      <c r="M656">
        <v>-19.96</v>
      </c>
      <c r="N656">
        <v>-22.03</v>
      </c>
      <c r="O656">
        <v>84</v>
      </c>
      <c r="P656" t="s">
        <v>40</v>
      </c>
      <c r="Q656" t="s">
        <v>28</v>
      </c>
      <c r="R656" t="s">
        <v>35</v>
      </c>
      <c r="S656">
        <v>2017</v>
      </c>
      <c r="T656" t="s">
        <v>36</v>
      </c>
      <c r="U656">
        <v>20132</v>
      </c>
      <c r="V656">
        <v>28.59</v>
      </c>
      <c r="W656">
        <v>92.78</v>
      </c>
      <c r="X656">
        <v>54.5</v>
      </c>
      <c r="Y656">
        <v>39.68</v>
      </c>
    </row>
    <row r="657" spans="1:25" x14ac:dyDescent="0.3">
      <c r="A657" t="s">
        <v>210</v>
      </c>
      <c r="B657" t="str">
        <f t="shared" si="10"/>
        <v>Feb</v>
      </c>
      <c r="C657" t="s">
        <v>25</v>
      </c>
      <c r="D657" t="s">
        <v>26</v>
      </c>
      <c r="E657">
        <v>703034019534.56995</v>
      </c>
      <c r="F657">
        <v>14808.38</v>
      </c>
      <c r="G657">
        <v>41316150086.849998</v>
      </c>
      <c r="H657">
        <v>13088473</v>
      </c>
      <c r="I657">
        <v>15204582</v>
      </c>
      <c r="J657">
        <v>15746527</v>
      </c>
      <c r="K657">
        <v>10.9</v>
      </c>
      <c r="L657">
        <v>-3.85</v>
      </c>
      <c r="M657">
        <v>-10.91</v>
      </c>
      <c r="N657">
        <v>-30.15</v>
      </c>
      <c r="O657">
        <v>52</v>
      </c>
      <c r="P657" t="s">
        <v>40</v>
      </c>
      <c r="Q657" t="s">
        <v>34</v>
      </c>
      <c r="R657" t="s">
        <v>74</v>
      </c>
      <c r="S657">
        <v>2016</v>
      </c>
      <c r="T657" t="s">
        <v>30</v>
      </c>
      <c r="U657">
        <v>52047</v>
      </c>
      <c r="V657">
        <v>35.28</v>
      </c>
      <c r="W657">
        <v>97.38</v>
      </c>
      <c r="X657">
        <v>72.819999999999993</v>
      </c>
      <c r="Y657">
        <v>41.46</v>
      </c>
    </row>
    <row r="658" spans="1:25" x14ac:dyDescent="0.3">
      <c r="A658" t="s">
        <v>271</v>
      </c>
      <c r="B658" t="str">
        <f t="shared" si="10"/>
        <v>May</v>
      </c>
      <c r="C658" t="s">
        <v>25</v>
      </c>
      <c r="D658" t="s">
        <v>26</v>
      </c>
      <c r="E658">
        <v>581637489161.23999</v>
      </c>
      <c r="F658">
        <v>62431.77</v>
      </c>
      <c r="G658">
        <v>288234953.98000002</v>
      </c>
      <c r="H658">
        <v>8789832</v>
      </c>
      <c r="I658">
        <v>9369537</v>
      </c>
      <c r="J658">
        <v>10155411</v>
      </c>
      <c r="K658">
        <v>1.58</v>
      </c>
      <c r="L658">
        <v>-0.1</v>
      </c>
      <c r="M658">
        <v>5.24</v>
      </c>
      <c r="N658">
        <v>-36.630000000000003</v>
      </c>
      <c r="O658">
        <v>153</v>
      </c>
      <c r="P658" t="s">
        <v>51</v>
      </c>
      <c r="Q658" t="s">
        <v>34</v>
      </c>
      <c r="R658" t="s">
        <v>29</v>
      </c>
      <c r="S658">
        <v>2022</v>
      </c>
      <c r="T658" t="s">
        <v>30</v>
      </c>
      <c r="U658">
        <v>60737</v>
      </c>
      <c r="V658">
        <v>68.510000000000005</v>
      </c>
      <c r="W658">
        <v>61.89</v>
      </c>
      <c r="X658">
        <v>28.34</v>
      </c>
      <c r="Y658">
        <v>73.040000000000006</v>
      </c>
    </row>
    <row r="659" spans="1:25" x14ac:dyDescent="0.3">
      <c r="A659" t="s">
        <v>382</v>
      </c>
      <c r="B659" t="str">
        <f t="shared" si="10"/>
        <v>Feb</v>
      </c>
      <c r="C659" t="s">
        <v>32</v>
      </c>
      <c r="D659" t="s">
        <v>33</v>
      </c>
      <c r="E659">
        <v>359742544630.15997</v>
      </c>
      <c r="F659">
        <v>60405.43</v>
      </c>
      <c r="G659">
        <v>27198059124.459999</v>
      </c>
      <c r="H659">
        <v>10148368</v>
      </c>
      <c r="I659">
        <v>13114760</v>
      </c>
      <c r="J659">
        <v>13467431</v>
      </c>
      <c r="K659">
        <v>52.82</v>
      </c>
      <c r="L659">
        <v>2.66</v>
      </c>
      <c r="M659">
        <v>9.2100000000000009</v>
      </c>
      <c r="N659">
        <v>4.74</v>
      </c>
      <c r="O659">
        <v>53</v>
      </c>
      <c r="P659" t="s">
        <v>51</v>
      </c>
      <c r="Q659" t="s">
        <v>41</v>
      </c>
      <c r="R659" t="s">
        <v>64</v>
      </c>
      <c r="S659">
        <v>2013</v>
      </c>
      <c r="T659" t="s">
        <v>36</v>
      </c>
      <c r="U659">
        <v>58057</v>
      </c>
      <c r="V659">
        <v>41.16</v>
      </c>
      <c r="W659">
        <v>74.599999999999994</v>
      </c>
      <c r="X659">
        <v>43.33</v>
      </c>
      <c r="Y659">
        <v>81.41</v>
      </c>
    </row>
    <row r="660" spans="1:25" x14ac:dyDescent="0.3">
      <c r="A660" t="s">
        <v>264</v>
      </c>
      <c r="B660" t="str">
        <f t="shared" si="10"/>
        <v>Feb</v>
      </c>
      <c r="C660" t="s">
        <v>32</v>
      </c>
      <c r="D660" t="s">
        <v>33</v>
      </c>
      <c r="E660">
        <v>283567245870.12</v>
      </c>
      <c r="F660">
        <v>61981.71</v>
      </c>
      <c r="G660">
        <v>15136161664.15</v>
      </c>
      <c r="H660">
        <v>14546375</v>
      </c>
      <c r="I660">
        <v>14680996</v>
      </c>
      <c r="J660">
        <v>15373233</v>
      </c>
      <c r="K660">
        <v>27.46</v>
      </c>
      <c r="L660">
        <v>0.22</v>
      </c>
      <c r="M660">
        <v>-16.34</v>
      </c>
      <c r="N660">
        <v>-2.19</v>
      </c>
      <c r="O660">
        <v>160</v>
      </c>
      <c r="P660" t="s">
        <v>46</v>
      </c>
      <c r="Q660" t="s">
        <v>57</v>
      </c>
      <c r="R660" t="s">
        <v>42</v>
      </c>
      <c r="S660">
        <v>2022</v>
      </c>
      <c r="T660" t="s">
        <v>36</v>
      </c>
      <c r="U660">
        <v>12383</v>
      </c>
      <c r="V660">
        <v>47.67</v>
      </c>
      <c r="W660">
        <v>55.87</v>
      </c>
      <c r="X660">
        <v>23.21</v>
      </c>
      <c r="Y660">
        <v>96.16</v>
      </c>
    </row>
    <row r="661" spans="1:25" x14ac:dyDescent="0.3">
      <c r="A661" t="s">
        <v>383</v>
      </c>
      <c r="B661" t="str">
        <f t="shared" si="10"/>
        <v>Aug</v>
      </c>
      <c r="C661" t="s">
        <v>38</v>
      </c>
      <c r="D661" t="s">
        <v>39</v>
      </c>
      <c r="E661">
        <v>714703284386.35999</v>
      </c>
      <c r="F661">
        <v>24231.69</v>
      </c>
      <c r="G661">
        <v>21205029873.77</v>
      </c>
      <c r="H661">
        <v>12008865</v>
      </c>
      <c r="I661">
        <v>13641686</v>
      </c>
      <c r="J661">
        <v>13949060</v>
      </c>
      <c r="K661">
        <v>41.93</v>
      </c>
      <c r="L661">
        <v>-2.09</v>
      </c>
      <c r="M661">
        <v>-15.14</v>
      </c>
      <c r="N661">
        <v>-29.46</v>
      </c>
      <c r="O661">
        <v>110</v>
      </c>
      <c r="P661" t="s">
        <v>51</v>
      </c>
      <c r="Q661" t="s">
        <v>34</v>
      </c>
      <c r="R661" t="s">
        <v>29</v>
      </c>
      <c r="S661">
        <v>2018</v>
      </c>
      <c r="T661" t="s">
        <v>36</v>
      </c>
      <c r="U661">
        <v>15397</v>
      </c>
      <c r="V661">
        <v>74.03</v>
      </c>
      <c r="W661">
        <v>26.35</v>
      </c>
      <c r="X661">
        <v>25.38</v>
      </c>
      <c r="Y661">
        <v>14.07</v>
      </c>
    </row>
    <row r="662" spans="1:25" x14ac:dyDescent="0.3">
      <c r="A662" t="s">
        <v>305</v>
      </c>
      <c r="B662" t="str">
        <f t="shared" si="10"/>
        <v>May</v>
      </c>
      <c r="C662" t="s">
        <v>49</v>
      </c>
      <c r="D662" t="s">
        <v>50</v>
      </c>
      <c r="E662">
        <v>381956666242.40002</v>
      </c>
      <c r="F662">
        <v>45575.41</v>
      </c>
      <c r="G662">
        <v>6809952587.8500004</v>
      </c>
      <c r="H662">
        <v>4620340</v>
      </c>
      <c r="I662">
        <v>7605390</v>
      </c>
      <c r="J662">
        <v>7732691</v>
      </c>
      <c r="K662">
        <v>14.27</v>
      </c>
      <c r="L662">
        <v>-2.19</v>
      </c>
      <c r="M662">
        <v>-12.46</v>
      </c>
      <c r="N662">
        <v>5.45</v>
      </c>
      <c r="O662">
        <v>63</v>
      </c>
      <c r="P662" t="s">
        <v>46</v>
      </c>
      <c r="Q662" t="s">
        <v>57</v>
      </c>
      <c r="R662" t="s">
        <v>64</v>
      </c>
      <c r="S662">
        <v>2012</v>
      </c>
      <c r="T662" t="s">
        <v>36</v>
      </c>
      <c r="U662">
        <v>46210</v>
      </c>
      <c r="V662">
        <v>97.01</v>
      </c>
      <c r="W662">
        <v>25.46</v>
      </c>
      <c r="X662">
        <v>80.66</v>
      </c>
      <c r="Y662">
        <v>76.95</v>
      </c>
    </row>
    <row r="663" spans="1:25" x14ac:dyDescent="0.3">
      <c r="A663" t="s">
        <v>167</v>
      </c>
      <c r="B663" t="str">
        <f t="shared" si="10"/>
        <v>Jun</v>
      </c>
      <c r="C663" t="s">
        <v>55</v>
      </c>
      <c r="D663" t="s">
        <v>56</v>
      </c>
      <c r="E663">
        <v>776959087447.64001</v>
      </c>
      <c r="F663">
        <v>27497.7</v>
      </c>
      <c r="G663">
        <v>41439182771.459999</v>
      </c>
      <c r="H663">
        <v>8842553</v>
      </c>
      <c r="I663">
        <v>11481660</v>
      </c>
      <c r="J663">
        <v>12033208</v>
      </c>
      <c r="K663">
        <v>22.52</v>
      </c>
      <c r="L663">
        <v>1.83</v>
      </c>
      <c r="M663">
        <v>-17.04</v>
      </c>
      <c r="N663">
        <v>27.82</v>
      </c>
      <c r="O663">
        <v>173</v>
      </c>
      <c r="P663" t="s">
        <v>51</v>
      </c>
      <c r="Q663" t="s">
        <v>57</v>
      </c>
      <c r="R663" t="s">
        <v>42</v>
      </c>
      <c r="S663">
        <v>2016</v>
      </c>
      <c r="T663" t="s">
        <v>58</v>
      </c>
      <c r="U663">
        <v>63837</v>
      </c>
      <c r="V663">
        <v>57.76</v>
      </c>
      <c r="W663">
        <v>50.56</v>
      </c>
      <c r="X663">
        <v>93.69</v>
      </c>
      <c r="Y663">
        <v>97.21</v>
      </c>
    </row>
    <row r="664" spans="1:25" x14ac:dyDescent="0.3">
      <c r="A664" t="s">
        <v>100</v>
      </c>
      <c r="B664" t="str">
        <f t="shared" si="10"/>
        <v>Jul</v>
      </c>
      <c r="C664" t="s">
        <v>55</v>
      </c>
      <c r="D664" t="s">
        <v>56</v>
      </c>
      <c r="E664">
        <v>432217287703.15997</v>
      </c>
      <c r="F664">
        <v>49613.84</v>
      </c>
      <c r="G664">
        <v>17437379608.439999</v>
      </c>
      <c r="H664">
        <v>17313784</v>
      </c>
      <c r="I664">
        <v>20228668</v>
      </c>
      <c r="J664">
        <v>20429831</v>
      </c>
      <c r="K664">
        <v>24.55</v>
      </c>
      <c r="L664">
        <v>0.97</v>
      </c>
      <c r="M664">
        <v>2.78</v>
      </c>
      <c r="N664">
        <v>-29.63</v>
      </c>
      <c r="O664">
        <v>173</v>
      </c>
      <c r="P664" t="s">
        <v>27</v>
      </c>
      <c r="Q664" t="s">
        <v>47</v>
      </c>
      <c r="R664" t="s">
        <v>64</v>
      </c>
      <c r="S664">
        <v>2011</v>
      </c>
      <c r="T664" t="s">
        <v>58</v>
      </c>
      <c r="U664">
        <v>18608</v>
      </c>
      <c r="V664">
        <v>68.11</v>
      </c>
      <c r="W664">
        <v>98.74</v>
      </c>
      <c r="X664">
        <v>83.49</v>
      </c>
      <c r="Y664">
        <v>37.43</v>
      </c>
    </row>
    <row r="665" spans="1:25" x14ac:dyDescent="0.3">
      <c r="A665" t="s">
        <v>314</v>
      </c>
      <c r="B665" t="str">
        <f t="shared" si="10"/>
        <v>Feb</v>
      </c>
      <c r="C665" t="s">
        <v>38</v>
      </c>
      <c r="D665" t="s">
        <v>39</v>
      </c>
      <c r="E665">
        <v>723463318578.78003</v>
      </c>
      <c r="F665">
        <v>15055.9</v>
      </c>
      <c r="G665">
        <v>16011970930.01</v>
      </c>
      <c r="H665">
        <v>4784044</v>
      </c>
      <c r="I665">
        <v>9464010</v>
      </c>
      <c r="J665">
        <v>10220799</v>
      </c>
      <c r="K665">
        <v>55.79</v>
      </c>
      <c r="L665">
        <v>0.08</v>
      </c>
      <c r="M665">
        <v>-10.85</v>
      </c>
      <c r="N665">
        <v>19.600000000000001</v>
      </c>
      <c r="O665">
        <v>160</v>
      </c>
      <c r="P665" t="s">
        <v>51</v>
      </c>
      <c r="Q665" t="s">
        <v>41</v>
      </c>
      <c r="R665" t="s">
        <v>35</v>
      </c>
      <c r="S665">
        <v>2019</v>
      </c>
      <c r="T665" t="s">
        <v>36</v>
      </c>
      <c r="U665">
        <v>564</v>
      </c>
      <c r="V665">
        <v>94.93</v>
      </c>
      <c r="W665">
        <v>46.27</v>
      </c>
      <c r="X665">
        <v>85.3</v>
      </c>
      <c r="Y665">
        <v>78.22</v>
      </c>
    </row>
    <row r="666" spans="1:25" x14ac:dyDescent="0.3">
      <c r="A666" t="s">
        <v>125</v>
      </c>
      <c r="B666" t="str">
        <f t="shared" si="10"/>
        <v>Mar</v>
      </c>
      <c r="C666" t="s">
        <v>90</v>
      </c>
      <c r="D666" t="s">
        <v>91</v>
      </c>
      <c r="E666">
        <v>164887155730.60999</v>
      </c>
      <c r="F666">
        <v>34846.519999999997</v>
      </c>
      <c r="G666">
        <v>13177749049.68</v>
      </c>
      <c r="H666">
        <v>13097122</v>
      </c>
      <c r="I666">
        <v>17918110</v>
      </c>
      <c r="J666">
        <v>18071897</v>
      </c>
      <c r="K666">
        <v>12.98</v>
      </c>
      <c r="L666">
        <v>-4.46</v>
      </c>
      <c r="M666">
        <v>18.97</v>
      </c>
      <c r="N666">
        <v>37.61</v>
      </c>
      <c r="O666">
        <v>179</v>
      </c>
      <c r="P666" t="s">
        <v>53</v>
      </c>
      <c r="Q666" t="s">
        <v>34</v>
      </c>
      <c r="R666" t="s">
        <v>74</v>
      </c>
      <c r="S666">
        <v>2015</v>
      </c>
      <c r="T666" t="s">
        <v>30</v>
      </c>
      <c r="U666">
        <v>53365</v>
      </c>
      <c r="V666">
        <v>13.98</v>
      </c>
      <c r="W666">
        <v>35.950000000000003</v>
      </c>
      <c r="X666">
        <v>34.57</v>
      </c>
      <c r="Y666">
        <v>89.91</v>
      </c>
    </row>
    <row r="667" spans="1:25" x14ac:dyDescent="0.3">
      <c r="A667" t="s">
        <v>355</v>
      </c>
      <c r="B667" t="str">
        <f t="shared" si="10"/>
        <v>Jun</v>
      </c>
      <c r="C667" t="s">
        <v>38</v>
      </c>
      <c r="D667" t="s">
        <v>39</v>
      </c>
      <c r="E667">
        <v>774590914153.88</v>
      </c>
      <c r="F667">
        <v>32597.35</v>
      </c>
      <c r="G667">
        <v>35109855108.889999</v>
      </c>
      <c r="H667">
        <v>7890420</v>
      </c>
      <c r="I667">
        <v>12311502</v>
      </c>
      <c r="J667">
        <v>12943863</v>
      </c>
      <c r="K667">
        <v>45.35</v>
      </c>
      <c r="L667">
        <v>3.05</v>
      </c>
      <c r="M667">
        <v>1.76</v>
      </c>
      <c r="N667">
        <v>-8.8800000000000008</v>
      </c>
      <c r="O667">
        <v>122</v>
      </c>
      <c r="P667" t="s">
        <v>53</v>
      </c>
      <c r="Q667" t="s">
        <v>47</v>
      </c>
      <c r="R667" t="s">
        <v>35</v>
      </c>
      <c r="S667">
        <v>2023</v>
      </c>
      <c r="T667" t="s">
        <v>36</v>
      </c>
      <c r="U667">
        <v>56162</v>
      </c>
      <c r="V667">
        <v>11.05</v>
      </c>
      <c r="W667">
        <v>69.48</v>
      </c>
      <c r="X667">
        <v>72.92</v>
      </c>
      <c r="Y667">
        <v>38.020000000000003</v>
      </c>
    </row>
    <row r="668" spans="1:25" x14ac:dyDescent="0.3">
      <c r="A668" t="s">
        <v>362</v>
      </c>
      <c r="B668" t="str">
        <f t="shared" si="10"/>
        <v>Sep</v>
      </c>
      <c r="C668" t="s">
        <v>25</v>
      </c>
      <c r="D668" t="s">
        <v>26</v>
      </c>
      <c r="E668">
        <v>183844040709.67001</v>
      </c>
      <c r="F668">
        <v>33792.93</v>
      </c>
      <c r="G668">
        <v>699526179.79999995</v>
      </c>
      <c r="H668">
        <v>2394119</v>
      </c>
      <c r="I668">
        <v>2653545</v>
      </c>
      <c r="J668">
        <v>2670443</v>
      </c>
      <c r="K668">
        <v>20.22</v>
      </c>
      <c r="L668">
        <v>-3.88</v>
      </c>
      <c r="M668">
        <v>-3.96</v>
      </c>
      <c r="N668">
        <v>27.47</v>
      </c>
      <c r="O668">
        <v>28</v>
      </c>
      <c r="P668" t="s">
        <v>27</v>
      </c>
      <c r="Q668" t="s">
        <v>34</v>
      </c>
      <c r="R668" t="s">
        <v>29</v>
      </c>
      <c r="S668">
        <v>2011</v>
      </c>
      <c r="T668" t="s">
        <v>30</v>
      </c>
      <c r="U668">
        <v>30545</v>
      </c>
      <c r="V668">
        <v>18.25</v>
      </c>
      <c r="W668">
        <v>90.32</v>
      </c>
      <c r="X668">
        <v>41.62</v>
      </c>
      <c r="Y668">
        <v>89.36</v>
      </c>
    </row>
    <row r="669" spans="1:25" x14ac:dyDescent="0.3">
      <c r="A669" t="s">
        <v>228</v>
      </c>
      <c r="B669" t="str">
        <f t="shared" si="10"/>
        <v>Jan</v>
      </c>
      <c r="C669" t="s">
        <v>60</v>
      </c>
      <c r="D669" t="s">
        <v>61</v>
      </c>
      <c r="E669">
        <v>668592048326.05005</v>
      </c>
      <c r="F669">
        <v>34431.129999999997</v>
      </c>
      <c r="G669">
        <v>47228438489.669998</v>
      </c>
      <c r="H669">
        <v>11486321</v>
      </c>
      <c r="I669">
        <v>12945902</v>
      </c>
      <c r="J669">
        <v>13493411</v>
      </c>
      <c r="K669">
        <v>5.98</v>
      </c>
      <c r="L669">
        <v>-3.72</v>
      </c>
      <c r="M669">
        <v>7.77</v>
      </c>
      <c r="N669">
        <v>-0.69</v>
      </c>
      <c r="O669">
        <v>175</v>
      </c>
      <c r="P669" t="s">
        <v>46</v>
      </c>
      <c r="Q669" t="s">
        <v>28</v>
      </c>
      <c r="R669" t="s">
        <v>64</v>
      </c>
      <c r="S669">
        <v>2010</v>
      </c>
      <c r="T669" t="s">
        <v>30</v>
      </c>
      <c r="U669">
        <v>21528</v>
      </c>
      <c r="V669">
        <v>49.91</v>
      </c>
      <c r="W669">
        <v>73.58</v>
      </c>
      <c r="X669">
        <v>35.71</v>
      </c>
      <c r="Y669">
        <v>95.59</v>
      </c>
    </row>
    <row r="670" spans="1:25" x14ac:dyDescent="0.3">
      <c r="A670" t="s">
        <v>379</v>
      </c>
      <c r="B670" t="str">
        <f t="shared" si="10"/>
        <v>Jul</v>
      </c>
      <c r="C670" t="s">
        <v>68</v>
      </c>
      <c r="D670" t="s">
        <v>69</v>
      </c>
      <c r="E670">
        <v>16038508415.559999</v>
      </c>
      <c r="F670">
        <v>49601.59</v>
      </c>
      <c r="G670">
        <v>9026833660.6700001</v>
      </c>
      <c r="H670">
        <v>12388372</v>
      </c>
      <c r="I670">
        <v>13510403</v>
      </c>
      <c r="J670">
        <v>14321555</v>
      </c>
      <c r="K670">
        <v>1.25</v>
      </c>
      <c r="L670">
        <v>-0.37</v>
      </c>
      <c r="M670">
        <v>17.739999999999998</v>
      </c>
      <c r="N670">
        <v>-15.62</v>
      </c>
      <c r="O670">
        <v>170</v>
      </c>
      <c r="P670" t="s">
        <v>40</v>
      </c>
      <c r="Q670" t="s">
        <v>57</v>
      </c>
      <c r="R670" t="s">
        <v>35</v>
      </c>
      <c r="S670">
        <v>2023</v>
      </c>
      <c r="T670" t="s">
        <v>36</v>
      </c>
      <c r="U670">
        <v>11891</v>
      </c>
      <c r="V670">
        <v>80.88</v>
      </c>
      <c r="W670">
        <v>64.459999999999994</v>
      </c>
      <c r="X670">
        <v>87.37</v>
      </c>
      <c r="Y670">
        <v>43.52</v>
      </c>
    </row>
    <row r="671" spans="1:25" x14ac:dyDescent="0.3">
      <c r="A671" t="s">
        <v>384</v>
      </c>
      <c r="B671" t="str">
        <f t="shared" si="10"/>
        <v>May</v>
      </c>
      <c r="C671" t="s">
        <v>32</v>
      </c>
      <c r="D671" t="s">
        <v>33</v>
      </c>
      <c r="E671">
        <v>517883135825.13</v>
      </c>
      <c r="F671">
        <v>39719.39</v>
      </c>
      <c r="G671">
        <v>11619389835.940001</v>
      </c>
      <c r="H671">
        <v>11180648</v>
      </c>
      <c r="I671">
        <v>11803185</v>
      </c>
      <c r="J671">
        <v>12420012</v>
      </c>
      <c r="K671">
        <v>21.48</v>
      </c>
      <c r="L671">
        <v>1.52</v>
      </c>
      <c r="M671">
        <v>-4.54</v>
      </c>
      <c r="N671">
        <v>12.26</v>
      </c>
      <c r="O671">
        <v>161</v>
      </c>
      <c r="P671" t="s">
        <v>46</v>
      </c>
      <c r="Q671" t="s">
        <v>34</v>
      </c>
      <c r="R671" t="s">
        <v>35</v>
      </c>
      <c r="S671">
        <v>2012</v>
      </c>
      <c r="T671" t="s">
        <v>36</v>
      </c>
      <c r="U671">
        <v>591</v>
      </c>
      <c r="V671">
        <v>45.12</v>
      </c>
      <c r="W671">
        <v>72.900000000000006</v>
      </c>
      <c r="X671">
        <v>20.65</v>
      </c>
      <c r="Y671">
        <v>15.29</v>
      </c>
    </row>
    <row r="672" spans="1:25" x14ac:dyDescent="0.3">
      <c r="A672" t="s">
        <v>207</v>
      </c>
      <c r="B672" t="str">
        <f t="shared" si="10"/>
        <v>Apr</v>
      </c>
      <c r="C672" t="s">
        <v>32</v>
      </c>
      <c r="D672" t="s">
        <v>33</v>
      </c>
      <c r="E672">
        <v>866617615510.19995</v>
      </c>
      <c r="F672">
        <v>34249.089999999997</v>
      </c>
      <c r="G672">
        <v>23097144494.57</v>
      </c>
      <c r="H672">
        <v>9762446</v>
      </c>
      <c r="I672">
        <v>10954445</v>
      </c>
      <c r="J672">
        <v>11779569</v>
      </c>
      <c r="K672">
        <v>58.32</v>
      </c>
      <c r="L672">
        <v>1.9</v>
      </c>
      <c r="M672">
        <v>-1.91</v>
      </c>
      <c r="N672">
        <v>-15.8</v>
      </c>
      <c r="O672">
        <v>27</v>
      </c>
      <c r="P672" t="s">
        <v>46</v>
      </c>
      <c r="Q672" t="s">
        <v>41</v>
      </c>
      <c r="R672" t="s">
        <v>42</v>
      </c>
      <c r="S672">
        <v>2016</v>
      </c>
      <c r="T672" t="s">
        <v>36</v>
      </c>
      <c r="U672">
        <v>30898</v>
      </c>
      <c r="V672">
        <v>21.81</v>
      </c>
      <c r="W672">
        <v>97.21</v>
      </c>
      <c r="X672">
        <v>90.54</v>
      </c>
      <c r="Y672">
        <v>96.43</v>
      </c>
    </row>
    <row r="673" spans="1:25" x14ac:dyDescent="0.3">
      <c r="A673" t="s">
        <v>100</v>
      </c>
      <c r="B673" t="str">
        <f t="shared" si="10"/>
        <v>Jul</v>
      </c>
      <c r="C673" t="s">
        <v>25</v>
      </c>
      <c r="D673" t="s">
        <v>26</v>
      </c>
      <c r="E673">
        <v>261217729259.32999</v>
      </c>
      <c r="F673">
        <v>17994.22</v>
      </c>
      <c r="G673">
        <v>36325609749.419998</v>
      </c>
      <c r="H673">
        <v>10197133</v>
      </c>
      <c r="I673">
        <v>12088520</v>
      </c>
      <c r="J673">
        <v>12238136</v>
      </c>
      <c r="K673">
        <v>37.81</v>
      </c>
      <c r="L673">
        <v>-0.72</v>
      </c>
      <c r="M673">
        <v>-15.31</v>
      </c>
      <c r="N673">
        <v>4.95</v>
      </c>
      <c r="O673">
        <v>102</v>
      </c>
      <c r="P673" t="s">
        <v>27</v>
      </c>
      <c r="Q673" t="s">
        <v>41</v>
      </c>
      <c r="R673" t="s">
        <v>35</v>
      </c>
      <c r="S673">
        <v>2012</v>
      </c>
      <c r="T673" t="s">
        <v>30</v>
      </c>
      <c r="U673">
        <v>35363</v>
      </c>
      <c r="V673">
        <v>52.48</v>
      </c>
      <c r="W673">
        <v>67.540000000000006</v>
      </c>
      <c r="X673">
        <v>25.16</v>
      </c>
      <c r="Y673">
        <v>79.209999999999994</v>
      </c>
    </row>
    <row r="674" spans="1:25" x14ac:dyDescent="0.3">
      <c r="A674" t="s">
        <v>261</v>
      </c>
      <c r="B674" t="str">
        <f t="shared" si="10"/>
        <v>Feb</v>
      </c>
      <c r="C674" t="s">
        <v>60</v>
      </c>
      <c r="D674" t="s">
        <v>61</v>
      </c>
      <c r="E674">
        <v>11426397715.41</v>
      </c>
      <c r="F674">
        <v>37525.72</v>
      </c>
      <c r="G674">
        <v>14342243961.450001</v>
      </c>
      <c r="H674">
        <v>1424741</v>
      </c>
      <c r="I674">
        <v>4132663</v>
      </c>
      <c r="J674">
        <v>4472895</v>
      </c>
      <c r="K674">
        <v>18.149999999999999</v>
      </c>
      <c r="L674">
        <v>0.33</v>
      </c>
      <c r="M674">
        <v>4.1399999999999997</v>
      </c>
      <c r="N674">
        <v>-25.92</v>
      </c>
      <c r="O674">
        <v>118</v>
      </c>
      <c r="P674" t="s">
        <v>40</v>
      </c>
      <c r="Q674" t="s">
        <v>41</v>
      </c>
      <c r="R674" t="s">
        <v>42</v>
      </c>
      <c r="S674">
        <v>2014</v>
      </c>
      <c r="T674" t="s">
        <v>30</v>
      </c>
      <c r="U674">
        <v>17119</v>
      </c>
      <c r="V674">
        <v>16.55</v>
      </c>
      <c r="W674">
        <v>92.38</v>
      </c>
      <c r="X674">
        <v>50.33</v>
      </c>
      <c r="Y674">
        <v>60.27</v>
      </c>
    </row>
    <row r="675" spans="1:25" x14ac:dyDescent="0.3">
      <c r="A675" t="s">
        <v>163</v>
      </c>
      <c r="B675" t="str">
        <f t="shared" si="10"/>
        <v>Oct</v>
      </c>
      <c r="C675" t="s">
        <v>68</v>
      </c>
      <c r="D675" t="s">
        <v>69</v>
      </c>
      <c r="E675">
        <v>334433013861.91998</v>
      </c>
      <c r="F675">
        <v>62752.82</v>
      </c>
      <c r="G675">
        <v>1344148685.7</v>
      </c>
      <c r="H675">
        <v>9716957</v>
      </c>
      <c r="I675">
        <v>10881421</v>
      </c>
      <c r="J675">
        <v>10966466</v>
      </c>
      <c r="K675">
        <v>9.51</v>
      </c>
      <c r="L675">
        <v>3.34</v>
      </c>
      <c r="M675">
        <v>-9.3800000000000008</v>
      </c>
      <c r="N675">
        <v>29.12</v>
      </c>
      <c r="O675">
        <v>134</v>
      </c>
      <c r="P675" t="s">
        <v>53</v>
      </c>
      <c r="Q675" t="s">
        <v>41</v>
      </c>
      <c r="R675" t="s">
        <v>42</v>
      </c>
      <c r="S675">
        <v>2021</v>
      </c>
      <c r="T675" t="s">
        <v>36</v>
      </c>
      <c r="U675">
        <v>58073</v>
      </c>
      <c r="V675">
        <v>22.39</v>
      </c>
      <c r="W675">
        <v>66.25</v>
      </c>
      <c r="X675">
        <v>58.01</v>
      </c>
      <c r="Y675">
        <v>12.5</v>
      </c>
    </row>
    <row r="676" spans="1:25" x14ac:dyDescent="0.3">
      <c r="A676" t="s">
        <v>385</v>
      </c>
      <c r="B676" t="str">
        <f t="shared" si="10"/>
        <v>Nov</v>
      </c>
      <c r="C676" t="s">
        <v>78</v>
      </c>
      <c r="D676" t="s">
        <v>79</v>
      </c>
      <c r="E676">
        <v>433867987985.5</v>
      </c>
      <c r="F676">
        <v>44929.99</v>
      </c>
      <c r="G676">
        <v>49559079292.5</v>
      </c>
      <c r="H676">
        <v>3336431</v>
      </c>
      <c r="I676">
        <v>7012975</v>
      </c>
      <c r="J676">
        <v>7070780</v>
      </c>
      <c r="K676">
        <v>38.83</v>
      </c>
      <c r="L676">
        <v>-4.7300000000000004</v>
      </c>
      <c r="M676">
        <v>5.69</v>
      </c>
      <c r="N676">
        <v>27.08</v>
      </c>
      <c r="O676">
        <v>105</v>
      </c>
      <c r="P676" t="s">
        <v>51</v>
      </c>
      <c r="Q676" t="s">
        <v>41</v>
      </c>
      <c r="R676" t="s">
        <v>64</v>
      </c>
      <c r="S676">
        <v>2015</v>
      </c>
      <c r="T676" t="s">
        <v>36</v>
      </c>
      <c r="U676">
        <v>14091</v>
      </c>
      <c r="V676">
        <v>74.930000000000007</v>
      </c>
      <c r="W676">
        <v>41.66</v>
      </c>
      <c r="X676">
        <v>64.11</v>
      </c>
      <c r="Y676">
        <v>87.42</v>
      </c>
    </row>
    <row r="677" spans="1:25" x14ac:dyDescent="0.3">
      <c r="A677" t="s">
        <v>171</v>
      </c>
      <c r="B677" t="str">
        <f t="shared" si="10"/>
        <v>Nov</v>
      </c>
      <c r="C677" t="s">
        <v>49</v>
      </c>
      <c r="D677" t="s">
        <v>50</v>
      </c>
      <c r="E677">
        <v>752657345927.88</v>
      </c>
      <c r="F677">
        <v>11140.73</v>
      </c>
      <c r="G677">
        <v>17793130418.799999</v>
      </c>
      <c r="H677">
        <v>2969637</v>
      </c>
      <c r="I677">
        <v>5274020</v>
      </c>
      <c r="J677">
        <v>6196553</v>
      </c>
      <c r="K677">
        <v>44.72</v>
      </c>
      <c r="L677">
        <v>-2.2599999999999998</v>
      </c>
      <c r="M677">
        <v>-0.66</v>
      </c>
      <c r="N677">
        <v>28.34</v>
      </c>
      <c r="O677">
        <v>40</v>
      </c>
      <c r="P677" t="s">
        <v>53</v>
      </c>
      <c r="Q677" t="s">
        <v>34</v>
      </c>
      <c r="R677" t="s">
        <v>42</v>
      </c>
      <c r="S677">
        <v>2023</v>
      </c>
      <c r="T677" t="s">
        <v>36</v>
      </c>
      <c r="U677">
        <v>56938</v>
      </c>
      <c r="V677">
        <v>15.66</v>
      </c>
      <c r="W677">
        <v>27.06</v>
      </c>
      <c r="X677">
        <v>18.38</v>
      </c>
      <c r="Y677">
        <v>30.76</v>
      </c>
    </row>
    <row r="678" spans="1:25" x14ac:dyDescent="0.3">
      <c r="A678" t="s">
        <v>207</v>
      </c>
      <c r="B678" t="str">
        <f t="shared" si="10"/>
        <v>Apr</v>
      </c>
      <c r="C678" t="s">
        <v>25</v>
      </c>
      <c r="D678" t="s">
        <v>26</v>
      </c>
      <c r="E678">
        <v>859595929794.51001</v>
      </c>
      <c r="F678">
        <v>62731.86</v>
      </c>
      <c r="G678">
        <v>28548915424.59</v>
      </c>
      <c r="H678">
        <v>18108423</v>
      </c>
      <c r="I678">
        <v>18728404</v>
      </c>
      <c r="J678">
        <v>19555506</v>
      </c>
      <c r="K678">
        <v>9.7899999999999991</v>
      </c>
      <c r="L678">
        <v>-4.6399999999999997</v>
      </c>
      <c r="M678">
        <v>12.17</v>
      </c>
      <c r="N678">
        <v>-39.71</v>
      </c>
      <c r="O678">
        <v>159</v>
      </c>
      <c r="P678" t="s">
        <v>40</v>
      </c>
      <c r="Q678" t="s">
        <v>57</v>
      </c>
      <c r="R678" t="s">
        <v>29</v>
      </c>
      <c r="S678">
        <v>2022</v>
      </c>
      <c r="T678" t="s">
        <v>30</v>
      </c>
      <c r="U678">
        <v>12714</v>
      </c>
      <c r="V678">
        <v>13.09</v>
      </c>
      <c r="W678">
        <v>21.81</v>
      </c>
      <c r="X678">
        <v>32.549999999999997</v>
      </c>
      <c r="Y678">
        <v>73.05</v>
      </c>
    </row>
    <row r="679" spans="1:25" x14ac:dyDescent="0.3">
      <c r="A679" t="s">
        <v>292</v>
      </c>
      <c r="B679" t="str">
        <f t="shared" si="10"/>
        <v>Mar</v>
      </c>
      <c r="C679" t="s">
        <v>60</v>
      </c>
      <c r="D679" t="s">
        <v>61</v>
      </c>
      <c r="E679">
        <v>55585139371.860001</v>
      </c>
      <c r="F679">
        <v>51867.11</v>
      </c>
      <c r="G679">
        <v>40740467728.089996</v>
      </c>
      <c r="H679">
        <v>12812466</v>
      </c>
      <c r="I679">
        <v>14722834</v>
      </c>
      <c r="J679">
        <v>15589806</v>
      </c>
      <c r="K679">
        <v>3.95</v>
      </c>
      <c r="L679">
        <v>3.22</v>
      </c>
      <c r="M679">
        <v>-5.78</v>
      </c>
      <c r="N679">
        <v>-22.33</v>
      </c>
      <c r="O679">
        <v>190</v>
      </c>
      <c r="P679" t="s">
        <v>53</v>
      </c>
      <c r="Q679" t="s">
        <v>28</v>
      </c>
      <c r="R679" t="s">
        <v>64</v>
      </c>
      <c r="S679">
        <v>2010</v>
      </c>
      <c r="T679" t="s">
        <v>30</v>
      </c>
      <c r="U679">
        <v>43597</v>
      </c>
      <c r="V679">
        <v>71.650000000000006</v>
      </c>
      <c r="W679">
        <v>52.55</v>
      </c>
      <c r="X679">
        <v>38.479999999999997</v>
      </c>
      <c r="Y679">
        <v>28.87</v>
      </c>
    </row>
    <row r="680" spans="1:25" x14ac:dyDescent="0.3">
      <c r="A680" t="s">
        <v>128</v>
      </c>
      <c r="B680" t="str">
        <f t="shared" si="10"/>
        <v>Nov</v>
      </c>
      <c r="C680" t="s">
        <v>90</v>
      </c>
      <c r="D680" t="s">
        <v>91</v>
      </c>
      <c r="E680">
        <v>539267744789.20001</v>
      </c>
      <c r="F680">
        <v>5798.96</v>
      </c>
      <c r="G680">
        <v>4055691288.7399998</v>
      </c>
      <c r="H680">
        <v>17311438</v>
      </c>
      <c r="I680">
        <v>19116626</v>
      </c>
      <c r="J680">
        <v>19206641</v>
      </c>
      <c r="K680">
        <v>53.25</v>
      </c>
      <c r="L680">
        <v>-0.14000000000000001</v>
      </c>
      <c r="M680">
        <v>-9.6199999999999992</v>
      </c>
      <c r="N680">
        <v>6.39</v>
      </c>
      <c r="O680">
        <v>169</v>
      </c>
      <c r="P680" t="s">
        <v>53</v>
      </c>
      <c r="Q680" t="s">
        <v>47</v>
      </c>
      <c r="R680" t="s">
        <v>64</v>
      </c>
      <c r="S680">
        <v>2010</v>
      </c>
      <c r="T680" t="s">
        <v>30</v>
      </c>
      <c r="U680">
        <v>23703</v>
      </c>
      <c r="V680">
        <v>98.5</v>
      </c>
      <c r="W680">
        <v>50.53</v>
      </c>
      <c r="X680">
        <v>88.08</v>
      </c>
      <c r="Y680">
        <v>83.93</v>
      </c>
    </row>
    <row r="681" spans="1:25" x14ac:dyDescent="0.3">
      <c r="A681" t="s">
        <v>310</v>
      </c>
      <c r="B681" t="str">
        <f t="shared" si="10"/>
        <v>Jan</v>
      </c>
      <c r="C681" t="s">
        <v>68</v>
      </c>
      <c r="D681" t="s">
        <v>69</v>
      </c>
      <c r="E681">
        <v>863742036845.32996</v>
      </c>
      <c r="F681">
        <v>16705.16</v>
      </c>
      <c r="G681">
        <v>30804458535.419998</v>
      </c>
      <c r="H681">
        <v>3517351</v>
      </c>
      <c r="I681">
        <v>3988272</v>
      </c>
      <c r="J681">
        <v>4960033</v>
      </c>
      <c r="K681">
        <v>53.68</v>
      </c>
      <c r="L681">
        <v>4.74</v>
      </c>
      <c r="M681">
        <v>1.31</v>
      </c>
      <c r="N681">
        <v>-18.88</v>
      </c>
      <c r="O681">
        <v>198</v>
      </c>
      <c r="P681" t="s">
        <v>46</v>
      </c>
      <c r="Q681" t="s">
        <v>41</v>
      </c>
      <c r="R681" t="s">
        <v>64</v>
      </c>
      <c r="S681">
        <v>2020</v>
      </c>
      <c r="T681" t="s">
        <v>36</v>
      </c>
      <c r="U681">
        <v>54701</v>
      </c>
      <c r="V681">
        <v>92.56</v>
      </c>
      <c r="W681">
        <v>25.96</v>
      </c>
      <c r="X681">
        <v>71.02</v>
      </c>
      <c r="Y681">
        <v>46.28</v>
      </c>
    </row>
    <row r="682" spans="1:25" x14ac:dyDescent="0.3">
      <c r="A682" t="s">
        <v>72</v>
      </c>
      <c r="B682" t="str">
        <f t="shared" si="10"/>
        <v>May</v>
      </c>
      <c r="C682" t="s">
        <v>38</v>
      </c>
      <c r="D682" t="s">
        <v>39</v>
      </c>
      <c r="E682">
        <v>9242762716.8099995</v>
      </c>
      <c r="F682">
        <v>28782.9</v>
      </c>
      <c r="G682">
        <v>18639779856.360001</v>
      </c>
      <c r="H682">
        <v>15777906</v>
      </c>
      <c r="I682">
        <v>17521260</v>
      </c>
      <c r="J682">
        <v>18441616</v>
      </c>
      <c r="K682">
        <v>47.25</v>
      </c>
      <c r="L682">
        <v>0.69</v>
      </c>
      <c r="M682">
        <v>-7.44</v>
      </c>
      <c r="N682">
        <v>-17.41</v>
      </c>
      <c r="O682">
        <v>186</v>
      </c>
      <c r="P682" t="s">
        <v>40</v>
      </c>
      <c r="Q682" t="s">
        <v>47</v>
      </c>
      <c r="R682" t="s">
        <v>42</v>
      </c>
      <c r="S682">
        <v>2013</v>
      </c>
      <c r="T682" t="s">
        <v>36</v>
      </c>
      <c r="U682">
        <v>19256</v>
      </c>
      <c r="V682">
        <v>69.98</v>
      </c>
      <c r="W682">
        <v>88.56</v>
      </c>
      <c r="X682">
        <v>16.77</v>
      </c>
      <c r="Y682">
        <v>92.39</v>
      </c>
    </row>
    <row r="683" spans="1:25" x14ac:dyDescent="0.3">
      <c r="A683" t="s">
        <v>386</v>
      </c>
      <c r="B683" t="str">
        <f t="shared" si="10"/>
        <v>Aug</v>
      </c>
      <c r="C683" t="s">
        <v>60</v>
      </c>
      <c r="D683" t="s">
        <v>61</v>
      </c>
      <c r="E683">
        <v>541210386399.38</v>
      </c>
      <c r="F683">
        <v>60765.59</v>
      </c>
      <c r="G683">
        <v>40466037693.129997</v>
      </c>
      <c r="H683">
        <v>8427652</v>
      </c>
      <c r="I683">
        <v>10997377</v>
      </c>
      <c r="J683">
        <v>11652056</v>
      </c>
      <c r="K683">
        <v>30.02</v>
      </c>
      <c r="L683">
        <v>-1.43</v>
      </c>
      <c r="M683">
        <v>-3.98</v>
      </c>
      <c r="N683">
        <v>6.78</v>
      </c>
      <c r="O683">
        <v>69</v>
      </c>
      <c r="P683" t="s">
        <v>27</v>
      </c>
      <c r="Q683" t="s">
        <v>47</v>
      </c>
      <c r="R683" t="s">
        <v>35</v>
      </c>
      <c r="S683">
        <v>2017</v>
      </c>
      <c r="T683" t="s">
        <v>30</v>
      </c>
      <c r="U683">
        <v>55070</v>
      </c>
      <c r="V683">
        <v>34.409999999999997</v>
      </c>
      <c r="W683">
        <v>99.75</v>
      </c>
      <c r="X683">
        <v>54.05</v>
      </c>
      <c r="Y683">
        <v>34.19</v>
      </c>
    </row>
    <row r="684" spans="1:25" x14ac:dyDescent="0.3">
      <c r="A684" t="s">
        <v>238</v>
      </c>
      <c r="B684" t="str">
        <f t="shared" si="10"/>
        <v>Apr</v>
      </c>
      <c r="C684" t="s">
        <v>32</v>
      </c>
      <c r="D684" t="s">
        <v>33</v>
      </c>
      <c r="E684">
        <v>74950604286.029999</v>
      </c>
      <c r="F684">
        <v>47306.32</v>
      </c>
      <c r="G684">
        <v>6715338472.4399996</v>
      </c>
      <c r="H684">
        <v>18502821</v>
      </c>
      <c r="I684">
        <v>19016497</v>
      </c>
      <c r="J684">
        <v>19395394</v>
      </c>
      <c r="K684">
        <v>18.73</v>
      </c>
      <c r="L684">
        <v>1.01</v>
      </c>
      <c r="M684">
        <v>-7.01</v>
      </c>
      <c r="N684">
        <v>26.96</v>
      </c>
      <c r="O684">
        <v>179</v>
      </c>
      <c r="P684" t="s">
        <v>53</v>
      </c>
      <c r="Q684" t="s">
        <v>34</v>
      </c>
      <c r="R684" t="s">
        <v>29</v>
      </c>
      <c r="S684">
        <v>2021</v>
      </c>
      <c r="T684" t="s">
        <v>36</v>
      </c>
      <c r="U684">
        <v>25008</v>
      </c>
      <c r="V684">
        <v>92.56</v>
      </c>
      <c r="W684">
        <v>57.42</v>
      </c>
      <c r="X684">
        <v>63.4</v>
      </c>
      <c r="Y684">
        <v>43.11</v>
      </c>
    </row>
    <row r="685" spans="1:25" x14ac:dyDescent="0.3">
      <c r="A685" t="s">
        <v>358</v>
      </c>
      <c r="B685" t="str">
        <f t="shared" si="10"/>
        <v>Mar</v>
      </c>
      <c r="C685" t="s">
        <v>60</v>
      </c>
      <c r="D685" t="s">
        <v>61</v>
      </c>
      <c r="E685">
        <v>234941695348.64001</v>
      </c>
      <c r="F685">
        <v>11091.94</v>
      </c>
      <c r="G685">
        <v>21974205124.259998</v>
      </c>
      <c r="H685">
        <v>16798376</v>
      </c>
      <c r="I685">
        <v>18752441</v>
      </c>
      <c r="J685">
        <v>19223178</v>
      </c>
      <c r="K685">
        <v>8.8699999999999992</v>
      </c>
      <c r="L685">
        <v>-3.96</v>
      </c>
      <c r="M685">
        <v>2.33</v>
      </c>
      <c r="N685">
        <v>19.03</v>
      </c>
      <c r="O685">
        <v>188</v>
      </c>
      <c r="P685" t="s">
        <v>40</v>
      </c>
      <c r="Q685" t="s">
        <v>57</v>
      </c>
      <c r="R685" t="s">
        <v>74</v>
      </c>
      <c r="S685">
        <v>2020</v>
      </c>
      <c r="T685" t="s">
        <v>30</v>
      </c>
      <c r="U685">
        <v>31203</v>
      </c>
      <c r="V685">
        <v>43.22</v>
      </c>
      <c r="W685">
        <v>52.38</v>
      </c>
      <c r="X685">
        <v>43.87</v>
      </c>
      <c r="Y685">
        <v>95.93</v>
      </c>
    </row>
    <row r="686" spans="1:25" x14ac:dyDescent="0.3">
      <c r="A686" t="s">
        <v>384</v>
      </c>
      <c r="B686" t="str">
        <f t="shared" si="10"/>
        <v>May</v>
      </c>
      <c r="C686" t="s">
        <v>90</v>
      </c>
      <c r="D686" t="s">
        <v>91</v>
      </c>
      <c r="E686">
        <v>796851052175.81995</v>
      </c>
      <c r="F686">
        <v>59376.82</v>
      </c>
      <c r="G686">
        <v>47666871301.93</v>
      </c>
      <c r="H686">
        <v>4867322</v>
      </c>
      <c r="I686">
        <v>6462107</v>
      </c>
      <c r="J686">
        <v>7047830</v>
      </c>
      <c r="K686">
        <v>11.01</v>
      </c>
      <c r="L686">
        <v>3.18</v>
      </c>
      <c r="M686">
        <v>9.9700000000000006</v>
      </c>
      <c r="N686">
        <v>-1.52</v>
      </c>
      <c r="O686">
        <v>138</v>
      </c>
      <c r="P686" t="s">
        <v>53</v>
      </c>
      <c r="Q686" t="s">
        <v>47</v>
      </c>
      <c r="R686" t="s">
        <v>64</v>
      </c>
      <c r="S686">
        <v>2018</v>
      </c>
      <c r="T686" t="s">
        <v>30</v>
      </c>
      <c r="U686">
        <v>47626</v>
      </c>
      <c r="V686">
        <v>91.71</v>
      </c>
      <c r="W686">
        <v>58.13</v>
      </c>
      <c r="X686">
        <v>97.86</v>
      </c>
      <c r="Y686">
        <v>28.71</v>
      </c>
    </row>
    <row r="687" spans="1:25" x14ac:dyDescent="0.3">
      <c r="A687" t="s">
        <v>387</v>
      </c>
      <c r="B687" t="str">
        <f t="shared" si="10"/>
        <v>Apr</v>
      </c>
      <c r="C687" t="s">
        <v>49</v>
      </c>
      <c r="D687" t="s">
        <v>50</v>
      </c>
      <c r="E687">
        <v>460363718519.66998</v>
      </c>
      <c r="F687">
        <v>44522.85</v>
      </c>
      <c r="G687">
        <v>49168856698.889999</v>
      </c>
      <c r="H687">
        <v>4737397</v>
      </c>
      <c r="I687">
        <v>5191507</v>
      </c>
      <c r="J687">
        <v>5591171</v>
      </c>
      <c r="K687">
        <v>40.97</v>
      </c>
      <c r="L687">
        <v>-4.21</v>
      </c>
      <c r="M687">
        <v>2.8</v>
      </c>
      <c r="N687">
        <v>-21.34</v>
      </c>
      <c r="O687">
        <v>117</v>
      </c>
      <c r="P687" t="s">
        <v>46</v>
      </c>
      <c r="Q687" t="s">
        <v>41</v>
      </c>
      <c r="R687" t="s">
        <v>64</v>
      </c>
      <c r="S687">
        <v>2010</v>
      </c>
      <c r="T687" t="s">
        <v>36</v>
      </c>
      <c r="U687">
        <v>3090</v>
      </c>
      <c r="V687">
        <v>17.91</v>
      </c>
      <c r="W687">
        <v>91.48</v>
      </c>
      <c r="X687">
        <v>54.94</v>
      </c>
      <c r="Y687">
        <v>10.4</v>
      </c>
    </row>
    <row r="688" spans="1:25" x14ac:dyDescent="0.3">
      <c r="A688" t="s">
        <v>37</v>
      </c>
      <c r="B688" t="str">
        <f t="shared" si="10"/>
        <v>Jan</v>
      </c>
      <c r="C688" t="s">
        <v>25</v>
      </c>
      <c r="D688" t="s">
        <v>26</v>
      </c>
      <c r="E688">
        <v>842751354166.43994</v>
      </c>
      <c r="F688">
        <v>58195.93</v>
      </c>
      <c r="G688">
        <v>28173474524.52</v>
      </c>
      <c r="H688">
        <v>2668024</v>
      </c>
      <c r="I688">
        <v>2913022</v>
      </c>
      <c r="J688">
        <v>3656340</v>
      </c>
      <c r="K688">
        <v>29.54</v>
      </c>
      <c r="L688">
        <v>1.46</v>
      </c>
      <c r="M688">
        <v>14.02</v>
      </c>
      <c r="N688">
        <v>24.74</v>
      </c>
      <c r="O688">
        <v>45</v>
      </c>
      <c r="P688" t="s">
        <v>40</v>
      </c>
      <c r="Q688" t="s">
        <v>28</v>
      </c>
      <c r="R688" t="s">
        <v>64</v>
      </c>
      <c r="S688">
        <v>2012</v>
      </c>
      <c r="T688" t="s">
        <v>30</v>
      </c>
      <c r="U688">
        <v>6343</v>
      </c>
      <c r="V688">
        <v>15.64</v>
      </c>
      <c r="W688">
        <v>76.36</v>
      </c>
      <c r="X688">
        <v>72.56</v>
      </c>
      <c r="Y688">
        <v>92.58</v>
      </c>
    </row>
    <row r="689" spans="1:25" x14ac:dyDescent="0.3">
      <c r="A689" t="s">
        <v>187</v>
      </c>
      <c r="B689" t="str">
        <f t="shared" si="10"/>
        <v>Jun</v>
      </c>
      <c r="C689" t="s">
        <v>78</v>
      </c>
      <c r="D689" t="s">
        <v>79</v>
      </c>
      <c r="E689">
        <v>22823125432.43</v>
      </c>
      <c r="F689">
        <v>2160.52</v>
      </c>
      <c r="G689">
        <v>26474826979.880001</v>
      </c>
      <c r="H689">
        <v>1142392</v>
      </c>
      <c r="I689">
        <v>3509528</v>
      </c>
      <c r="J689">
        <v>4092172</v>
      </c>
      <c r="K689">
        <v>16.77</v>
      </c>
      <c r="L689">
        <v>-4.17</v>
      </c>
      <c r="M689">
        <v>0.8</v>
      </c>
      <c r="N689">
        <v>18.36</v>
      </c>
      <c r="O689">
        <v>200</v>
      </c>
      <c r="P689" t="s">
        <v>27</v>
      </c>
      <c r="Q689" t="s">
        <v>34</v>
      </c>
      <c r="R689" t="s">
        <v>42</v>
      </c>
      <c r="S689">
        <v>2020</v>
      </c>
      <c r="T689" t="s">
        <v>36</v>
      </c>
      <c r="U689">
        <v>44608</v>
      </c>
      <c r="V689">
        <v>25.81</v>
      </c>
      <c r="W689">
        <v>87.36</v>
      </c>
      <c r="X689">
        <v>45.57</v>
      </c>
      <c r="Y689">
        <v>98.06</v>
      </c>
    </row>
    <row r="690" spans="1:25" x14ac:dyDescent="0.3">
      <c r="A690" t="s">
        <v>87</v>
      </c>
      <c r="B690" t="str">
        <f t="shared" si="10"/>
        <v>Jun</v>
      </c>
      <c r="C690" t="s">
        <v>25</v>
      </c>
      <c r="D690" t="s">
        <v>26</v>
      </c>
      <c r="E690">
        <v>48231961388.110001</v>
      </c>
      <c r="F690">
        <v>59593.65</v>
      </c>
      <c r="G690">
        <v>35221912939.150002</v>
      </c>
      <c r="H690">
        <v>1712705</v>
      </c>
      <c r="I690">
        <v>6234451</v>
      </c>
      <c r="J690">
        <v>6540093</v>
      </c>
      <c r="K690">
        <v>51.29</v>
      </c>
      <c r="L690">
        <v>-0.35</v>
      </c>
      <c r="M690">
        <v>2.27</v>
      </c>
      <c r="N690">
        <v>27.04</v>
      </c>
      <c r="O690">
        <v>120</v>
      </c>
      <c r="P690" t="s">
        <v>53</v>
      </c>
      <c r="Q690" t="s">
        <v>28</v>
      </c>
      <c r="R690" t="s">
        <v>74</v>
      </c>
      <c r="S690">
        <v>2013</v>
      </c>
      <c r="T690" t="s">
        <v>30</v>
      </c>
      <c r="U690">
        <v>38522</v>
      </c>
      <c r="V690">
        <v>84.54</v>
      </c>
      <c r="W690">
        <v>99.23</v>
      </c>
      <c r="X690">
        <v>79.44</v>
      </c>
      <c r="Y690">
        <v>53.48</v>
      </c>
    </row>
    <row r="691" spans="1:25" x14ac:dyDescent="0.3">
      <c r="A691" t="s">
        <v>314</v>
      </c>
      <c r="B691" t="str">
        <f t="shared" si="10"/>
        <v>Feb</v>
      </c>
      <c r="C691" t="s">
        <v>44</v>
      </c>
      <c r="D691" t="s">
        <v>45</v>
      </c>
      <c r="E691">
        <v>750185940714.69995</v>
      </c>
      <c r="F691">
        <v>62495.65</v>
      </c>
      <c r="G691">
        <v>25338013555.57</v>
      </c>
      <c r="H691">
        <v>10055976</v>
      </c>
      <c r="I691">
        <v>11007142</v>
      </c>
      <c r="J691">
        <v>11267888</v>
      </c>
      <c r="K691">
        <v>12.49</v>
      </c>
      <c r="L691">
        <v>-4.59</v>
      </c>
      <c r="M691">
        <v>2.23</v>
      </c>
      <c r="N691">
        <v>-0.2</v>
      </c>
      <c r="O691">
        <v>135</v>
      </c>
      <c r="P691" t="s">
        <v>40</v>
      </c>
      <c r="Q691" t="s">
        <v>28</v>
      </c>
      <c r="R691" t="s">
        <v>42</v>
      </c>
      <c r="S691">
        <v>2010</v>
      </c>
      <c r="T691" t="s">
        <v>36</v>
      </c>
      <c r="U691">
        <v>24651</v>
      </c>
      <c r="V691">
        <v>46.83</v>
      </c>
      <c r="W691">
        <v>98.16</v>
      </c>
      <c r="X691">
        <v>99.67</v>
      </c>
      <c r="Y691">
        <v>55.95</v>
      </c>
    </row>
    <row r="692" spans="1:25" x14ac:dyDescent="0.3">
      <c r="A692" t="s">
        <v>126</v>
      </c>
      <c r="B692" t="str">
        <f t="shared" si="10"/>
        <v>Aug</v>
      </c>
      <c r="C692" t="s">
        <v>90</v>
      </c>
      <c r="D692" t="s">
        <v>91</v>
      </c>
      <c r="E692">
        <v>135620846098.09</v>
      </c>
      <c r="F692">
        <v>33016.980000000003</v>
      </c>
      <c r="G692">
        <v>15722480609.49</v>
      </c>
      <c r="H692">
        <v>16778589</v>
      </c>
      <c r="I692">
        <v>19003321</v>
      </c>
      <c r="J692">
        <v>19684393</v>
      </c>
      <c r="K692">
        <v>11.4</v>
      </c>
      <c r="L692">
        <v>-4.83</v>
      </c>
      <c r="M692">
        <v>8.19</v>
      </c>
      <c r="N692">
        <v>-11.17</v>
      </c>
      <c r="O692">
        <v>33</v>
      </c>
      <c r="P692" t="s">
        <v>27</v>
      </c>
      <c r="Q692" t="s">
        <v>47</v>
      </c>
      <c r="R692" t="s">
        <v>35</v>
      </c>
      <c r="S692">
        <v>2016</v>
      </c>
      <c r="T692" t="s">
        <v>30</v>
      </c>
      <c r="U692">
        <v>10230</v>
      </c>
      <c r="V692">
        <v>68.239999999999995</v>
      </c>
      <c r="W692">
        <v>23.43</v>
      </c>
      <c r="X692">
        <v>70.47</v>
      </c>
      <c r="Y692">
        <v>20.5</v>
      </c>
    </row>
    <row r="693" spans="1:25" x14ac:dyDescent="0.3">
      <c r="A693" t="s">
        <v>253</v>
      </c>
      <c r="B693" t="str">
        <f t="shared" si="10"/>
        <v>Jun</v>
      </c>
      <c r="C693" t="s">
        <v>68</v>
      </c>
      <c r="D693" t="s">
        <v>69</v>
      </c>
      <c r="E693">
        <v>853422811796.41003</v>
      </c>
      <c r="F693">
        <v>62930.61</v>
      </c>
      <c r="G693">
        <v>18561169495.130001</v>
      </c>
      <c r="H693">
        <v>18660933</v>
      </c>
      <c r="I693">
        <v>20247274</v>
      </c>
      <c r="J693">
        <v>20421543</v>
      </c>
      <c r="K693">
        <v>37.61</v>
      </c>
      <c r="L693">
        <v>-1.1100000000000001</v>
      </c>
      <c r="M693">
        <v>-3.27</v>
      </c>
      <c r="N693">
        <v>18.27</v>
      </c>
      <c r="O693">
        <v>136</v>
      </c>
      <c r="P693" t="s">
        <v>40</v>
      </c>
      <c r="Q693" t="s">
        <v>41</v>
      </c>
      <c r="R693" t="s">
        <v>42</v>
      </c>
      <c r="S693">
        <v>2013</v>
      </c>
      <c r="T693" t="s">
        <v>36</v>
      </c>
      <c r="U693">
        <v>33660</v>
      </c>
      <c r="V693">
        <v>51.3</v>
      </c>
      <c r="W693">
        <v>42</v>
      </c>
      <c r="X693">
        <v>70.75</v>
      </c>
      <c r="Y693">
        <v>70.3</v>
      </c>
    </row>
    <row r="694" spans="1:25" x14ac:dyDescent="0.3">
      <c r="A694" t="s">
        <v>106</v>
      </c>
      <c r="B694" t="str">
        <f t="shared" si="10"/>
        <v>Nov</v>
      </c>
      <c r="C694" t="s">
        <v>55</v>
      </c>
      <c r="D694" t="s">
        <v>56</v>
      </c>
      <c r="E694">
        <v>356917789725.72998</v>
      </c>
      <c r="F694">
        <v>2500.88</v>
      </c>
      <c r="G694">
        <v>49612803606.959999</v>
      </c>
      <c r="H694">
        <v>18611719</v>
      </c>
      <c r="I694">
        <v>23066780</v>
      </c>
      <c r="J694">
        <v>23429185</v>
      </c>
      <c r="K694">
        <v>18.149999999999999</v>
      </c>
      <c r="L694">
        <v>3.02</v>
      </c>
      <c r="M694">
        <v>3.13</v>
      </c>
      <c r="N694">
        <v>-31.61</v>
      </c>
      <c r="O694">
        <v>108</v>
      </c>
      <c r="P694" t="s">
        <v>40</v>
      </c>
      <c r="Q694" t="s">
        <v>34</v>
      </c>
      <c r="R694" t="s">
        <v>64</v>
      </c>
      <c r="S694">
        <v>2022</v>
      </c>
      <c r="T694" t="s">
        <v>58</v>
      </c>
      <c r="U694">
        <v>55724</v>
      </c>
      <c r="V694">
        <v>62.44</v>
      </c>
      <c r="W694">
        <v>97.02</v>
      </c>
      <c r="X694">
        <v>66.56</v>
      </c>
      <c r="Y694">
        <v>70.010000000000005</v>
      </c>
    </row>
    <row r="695" spans="1:25" x14ac:dyDescent="0.3">
      <c r="A695" t="s">
        <v>86</v>
      </c>
      <c r="B695" t="str">
        <f t="shared" si="10"/>
        <v>Apr</v>
      </c>
      <c r="C695" t="s">
        <v>25</v>
      </c>
      <c r="D695" t="s">
        <v>26</v>
      </c>
      <c r="E695">
        <v>207084582469.76001</v>
      </c>
      <c r="F695">
        <v>24159.78</v>
      </c>
      <c r="G695">
        <v>15568799767.74</v>
      </c>
      <c r="H695">
        <v>4571999</v>
      </c>
      <c r="I695">
        <v>9205272</v>
      </c>
      <c r="J695">
        <v>9949426</v>
      </c>
      <c r="K695">
        <v>25.83</v>
      </c>
      <c r="L695">
        <v>-2.2400000000000002</v>
      </c>
      <c r="M695">
        <v>11.05</v>
      </c>
      <c r="N695">
        <v>-8.99</v>
      </c>
      <c r="O695">
        <v>69</v>
      </c>
      <c r="P695" t="s">
        <v>46</v>
      </c>
      <c r="Q695" t="s">
        <v>47</v>
      </c>
      <c r="R695" t="s">
        <v>42</v>
      </c>
      <c r="S695">
        <v>2019</v>
      </c>
      <c r="T695" t="s">
        <v>30</v>
      </c>
      <c r="U695">
        <v>24860</v>
      </c>
      <c r="V695">
        <v>23.63</v>
      </c>
      <c r="W695">
        <v>89.47</v>
      </c>
      <c r="X695">
        <v>42.34</v>
      </c>
      <c r="Y695">
        <v>94.03</v>
      </c>
    </row>
    <row r="696" spans="1:25" x14ac:dyDescent="0.3">
      <c r="A696" t="s">
        <v>388</v>
      </c>
      <c r="B696" t="str">
        <f t="shared" si="10"/>
        <v>Dec</v>
      </c>
      <c r="C696" t="s">
        <v>90</v>
      </c>
      <c r="D696" t="s">
        <v>91</v>
      </c>
      <c r="E696">
        <v>623258361500.06006</v>
      </c>
      <c r="F696">
        <v>1798.25</v>
      </c>
      <c r="G696">
        <v>44281798640.169998</v>
      </c>
      <c r="H696">
        <v>7387020</v>
      </c>
      <c r="I696">
        <v>8067165</v>
      </c>
      <c r="J696">
        <v>8377056</v>
      </c>
      <c r="K696">
        <v>51.08</v>
      </c>
      <c r="L696">
        <v>2.81</v>
      </c>
      <c r="M696">
        <v>12.19</v>
      </c>
      <c r="N696">
        <v>-6.38</v>
      </c>
      <c r="O696">
        <v>22</v>
      </c>
      <c r="P696" t="s">
        <v>46</v>
      </c>
      <c r="Q696" t="s">
        <v>28</v>
      </c>
      <c r="R696" t="s">
        <v>42</v>
      </c>
      <c r="S696">
        <v>2020</v>
      </c>
      <c r="T696" t="s">
        <v>30</v>
      </c>
      <c r="U696">
        <v>8931</v>
      </c>
      <c r="V696">
        <v>70.650000000000006</v>
      </c>
      <c r="W696">
        <v>27.29</v>
      </c>
      <c r="X696">
        <v>71.849999999999994</v>
      </c>
      <c r="Y696">
        <v>91.84</v>
      </c>
    </row>
    <row r="697" spans="1:25" x14ac:dyDescent="0.3">
      <c r="A697" t="s">
        <v>105</v>
      </c>
      <c r="B697" t="str">
        <f t="shared" si="10"/>
        <v>Mar</v>
      </c>
      <c r="C697" t="s">
        <v>78</v>
      </c>
      <c r="D697" t="s">
        <v>79</v>
      </c>
      <c r="E697">
        <v>118125739154.78</v>
      </c>
      <c r="F697">
        <v>27717.24</v>
      </c>
      <c r="G697">
        <v>7896965658.0299997</v>
      </c>
      <c r="H697">
        <v>6493828</v>
      </c>
      <c r="I697">
        <v>9567642</v>
      </c>
      <c r="J697">
        <v>9882371</v>
      </c>
      <c r="K697">
        <v>56.91</v>
      </c>
      <c r="L697">
        <v>1.1200000000000001</v>
      </c>
      <c r="M697">
        <v>18.07</v>
      </c>
      <c r="N697">
        <v>30.23</v>
      </c>
      <c r="O697">
        <v>53</v>
      </c>
      <c r="P697" t="s">
        <v>27</v>
      </c>
      <c r="Q697" t="s">
        <v>28</v>
      </c>
      <c r="R697" t="s">
        <v>74</v>
      </c>
      <c r="S697">
        <v>2017</v>
      </c>
      <c r="T697" t="s">
        <v>36</v>
      </c>
      <c r="U697">
        <v>21295</v>
      </c>
      <c r="V697">
        <v>91.13</v>
      </c>
      <c r="W697">
        <v>64.03</v>
      </c>
      <c r="X697">
        <v>90.78</v>
      </c>
      <c r="Y697">
        <v>37.07</v>
      </c>
    </row>
    <row r="698" spans="1:25" x14ac:dyDescent="0.3">
      <c r="A698" t="s">
        <v>281</v>
      </c>
      <c r="B698" t="str">
        <f t="shared" si="10"/>
        <v>May</v>
      </c>
      <c r="C698" t="s">
        <v>38</v>
      </c>
      <c r="D698" t="s">
        <v>39</v>
      </c>
      <c r="E698">
        <v>355666481482.72998</v>
      </c>
      <c r="F698">
        <v>69678.84</v>
      </c>
      <c r="G698">
        <v>1485575681</v>
      </c>
      <c r="H698">
        <v>11606536</v>
      </c>
      <c r="I698">
        <v>13690743</v>
      </c>
      <c r="J698">
        <v>14669556</v>
      </c>
      <c r="K698">
        <v>14.5</v>
      </c>
      <c r="L698">
        <v>-1.1399999999999999</v>
      </c>
      <c r="M698">
        <v>-1.73</v>
      </c>
      <c r="N698">
        <v>39.770000000000003</v>
      </c>
      <c r="O698">
        <v>82</v>
      </c>
      <c r="P698" t="s">
        <v>40</v>
      </c>
      <c r="Q698" t="s">
        <v>47</v>
      </c>
      <c r="R698" t="s">
        <v>29</v>
      </c>
      <c r="S698">
        <v>2011</v>
      </c>
      <c r="T698" t="s">
        <v>36</v>
      </c>
      <c r="U698">
        <v>60133</v>
      </c>
      <c r="V698">
        <v>60.06</v>
      </c>
      <c r="W698">
        <v>24.95</v>
      </c>
      <c r="X698">
        <v>11.76</v>
      </c>
      <c r="Y698">
        <v>86.48</v>
      </c>
    </row>
    <row r="699" spans="1:25" x14ac:dyDescent="0.3">
      <c r="A699" t="s">
        <v>389</v>
      </c>
      <c r="B699" t="str">
        <f t="shared" si="10"/>
        <v>Sep</v>
      </c>
      <c r="C699" t="s">
        <v>38</v>
      </c>
      <c r="D699" t="s">
        <v>39</v>
      </c>
      <c r="E699">
        <v>39669266402.849998</v>
      </c>
      <c r="F699">
        <v>19256.73</v>
      </c>
      <c r="G699">
        <v>11571496474.950001</v>
      </c>
      <c r="H699">
        <v>4839252</v>
      </c>
      <c r="I699">
        <v>8095389</v>
      </c>
      <c r="J699">
        <v>8868626</v>
      </c>
      <c r="K699">
        <v>7.34</v>
      </c>
      <c r="L699">
        <v>-1.7</v>
      </c>
      <c r="M699">
        <v>6.77</v>
      </c>
      <c r="N699">
        <v>11.27</v>
      </c>
      <c r="O699">
        <v>100</v>
      </c>
      <c r="P699" t="s">
        <v>51</v>
      </c>
      <c r="Q699" t="s">
        <v>28</v>
      </c>
      <c r="R699" t="s">
        <v>74</v>
      </c>
      <c r="S699">
        <v>2014</v>
      </c>
      <c r="T699" t="s">
        <v>36</v>
      </c>
      <c r="U699">
        <v>19407</v>
      </c>
      <c r="V699">
        <v>49.8</v>
      </c>
      <c r="W699">
        <v>26.02</v>
      </c>
      <c r="X699">
        <v>98.88</v>
      </c>
      <c r="Y699">
        <v>52.94</v>
      </c>
    </row>
    <row r="700" spans="1:25" x14ac:dyDescent="0.3">
      <c r="A700" t="s">
        <v>203</v>
      </c>
      <c r="B700" t="str">
        <f t="shared" si="10"/>
        <v>Feb</v>
      </c>
      <c r="C700" t="s">
        <v>32</v>
      </c>
      <c r="D700" t="s">
        <v>33</v>
      </c>
      <c r="E700">
        <v>547790864204.02002</v>
      </c>
      <c r="F700">
        <v>53838.11</v>
      </c>
      <c r="G700">
        <v>8292534934.1400003</v>
      </c>
      <c r="H700">
        <v>14202751</v>
      </c>
      <c r="I700">
        <v>17324393</v>
      </c>
      <c r="J700">
        <v>17791636</v>
      </c>
      <c r="K700">
        <v>38.85</v>
      </c>
      <c r="L700">
        <v>-3.91</v>
      </c>
      <c r="M700">
        <v>5.12</v>
      </c>
      <c r="N700">
        <v>9.8800000000000008</v>
      </c>
      <c r="O700">
        <v>32</v>
      </c>
      <c r="P700" t="s">
        <v>51</v>
      </c>
      <c r="Q700" t="s">
        <v>57</v>
      </c>
      <c r="R700" t="s">
        <v>29</v>
      </c>
      <c r="S700">
        <v>2015</v>
      </c>
      <c r="T700" t="s">
        <v>36</v>
      </c>
      <c r="U700">
        <v>55488</v>
      </c>
      <c r="V700">
        <v>39.32</v>
      </c>
      <c r="W700">
        <v>89.07</v>
      </c>
      <c r="X700">
        <v>63.05</v>
      </c>
      <c r="Y700">
        <v>34.36</v>
      </c>
    </row>
    <row r="701" spans="1:25" x14ac:dyDescent="0.3">
      <c r="A701" t="s">
        <v>361</v>
      </c>
      <c r="B701" t="str">
        <f t="shared" si="10"/>
        <v>Jun</v>
      </c>
      <c r="C701" t="s">
        <v>44</v>
      </c>
      <c r="D701" t="s">
        <v>45</v>
      </c>
      <c r="E701">
        <v>68454603621.940002</v>
      </c>
      <c r="F701">
        <v>51865.63</v>
      </c>
      <c r="G701">
        <v>27589925838.880001</v>
      </c>
      <c r="H701">
        <v>1284979</v>
      </c>
      <c r="I701">
        <v>2106158</v>
      </c>
      <c r="J701">
        <v>2285673</v>
      </c>
      <c r="K701">
        <v>35.47</v>
      </c>
      <c r="L701">
        <v>-0.22</v>
      </c>
      <c r="M701">
        <v>-18.43</v>
      </c>
      <c r="N701">
        <v>-20.28</v>
      </c>
      <c r="O701">
        <v>25</v>
      </c>
      <c r="P701" t="s">
        <v>53</v>
      </c>
      <c r="Q701" t="s">
        <v>41</v>
      </c>
      <c r="R701" t="s">
        <v>42</v>
      </c>
      <c r="S701">
        <v>2010</v>
      </c>
      <c r="T701" t="s">
        <v>36</v>
      </c>
      <c r="U701">
        <v>37955</v>
      </c>
      <c r="V701">
        <v>38.659999999999997</v>
      </c>
      <c r="W701">
        <v>41.46</v>
      </c>
      <c r="X701">
        <v>81.900000000000006</v>
      </c>
      <c r="Y701">
        <v>11.12</v>
      </c>
    </row>
    <row r="702" spans="1:25" x14ac:dyDescent="0.3">
      <c r="A702" t="s">
        <v>147</v>
      </c>
      <c r="B702" t="str">
        <f t="shared" si="10"/>
        <v>Mar</v>
      </c>
      <c r="C702" t="s">
        <v>44</v>
      </c>
      <c r="D702" t="s">
        <v>45</v>
      </c>
      <c r="E702">
        <v>527493119629.59003</v>
      </c>
      <c r="F702">
        <v>55172.89</v>
      </c>
      <c r="G702">
        <v>25735562406.880001</v>
      </c>
      <c r="H702">
        <v>5441821</v>
      </c>
      <c r="I702">
        <v>6564803</v>
      </c>
      <c r="J702">
        <v>7386874</v>
      </c>
      <c r="K702">
        <v>11.23</v>
      </c>
      <c r="L702">
        <v>-4.93</v>
      </c>
      <c r="M702">
        <v>-5.72</v>
      </c>
      <c r="N702">
        <v>23.84</v>
      </c>
      <c r="O702">
        <v>33</v>
      </c>
      <c r="P702" t="s">
        <v>27</v>
      </c>
      <c r="Q702" t="s">
        <v>47</v>
      </c>
      <c r="R702" t="s">
        <v>29</v>
      </c>
      <c r="S702">
        <v>2012</v>
      </c>
      <c r="T702" t="s">
        <v>36</v>
      </c>
      <c r="U702">
        <v>10073</v>
      </c>
      <c r="V702">
        <v>35.44</v>
      </c>
      <c r="W702">
        <v>40.36</v>
      </c>
      <c r="X702">
        <v>52.09</v>
      </c>
      <c r="Y702">
        <v>45.94</v>
      </c>
    </row>
    <row r="703" spans="1:25" x14ac:dyDescent="0.3">
      <c r="A703" t="s">
        <v>388</v>
      </c>
      <c r="B703" t="str">
        <f t="shared" si="10"/>
        <v>Dec</v>
      </c>
      <c r="C703" t="s">
        <v>49</v>
      </c>
      <c r="D703" t="s">
        <v>50</v>
      </c>
      <c r="E703">
        <v>162149826116.85999</v>
      </c>
      <c r="F703">
        <v>47302.33</v>
      </c>
      <c r="G703">
        <v>33881186316.490002</v>
      </c>
      <c r="H703">
        <v>8297789</v>
      </c>
      <c r="I703">
        <v>12914685</v>
      </c>
      <c r="J703">
        <v>13332102</v>
      </c>
      <c r="K703">
        <v>53.29</v>
      </c>
      <c r="L703">
        <v>-4.51</v>
      </c>
      <c r="M703">
        <v>4.4400000000000004</v>
      </c>
      <c r="N703">
        <v>-30.63</v>
      </c>
      <c r="O703">
        <v>133</v>
      </c>
      <c r="P703" t="s">
        <v>40</v>
      </c>
      <c r="Q703" t="s">
        <v>28</v>
      </c>
      <c r="R703" t="s">
        <v>35</v>
      </c>
      <c r="S703">
        <v>2016</v>
      </c>
      <c r="T703" t="s">
        <v>36</v>
      </c>
      <c r="U703">
        <v>25951</v>
      </c>
      <c r="V703">
        <v>66.38</v>
      </c>
      <c r="W703">
        <v>71.48</v>
      </c>
      <c r="X703">
        <v>13.6</v>
      </c>
      <c r="Y703">
        <v>60.45</v>
      </c>
    </row>
    <row r="704" spans="1:25" x14ac:dyDescent="0.3">
      <c r="A704" t="s">
        <v>98</v>
      </c>
      <c r="B704" t="str">
        <f t="shared" si="10"/>
        <v>Aug</v>
      </c>
      <c r="C704" t="s">
        <v>25</v>
      </c>
      <c r="D704" t="s">
        <v>26</v>
      </c>
      <c r="E704">
        <v>558369162437.47998</v>
      </c>
      <c r="F704">
        <v>22739.22</v>
      </c>
      <c r="G704">
        <v>20959589371.529999</v>
      </c>
      <c r="H704">
        <v>15098974</v>
      </c>
      <c r="I704">
        <v>19900514</v>
      </c>
      <c r="J704">
        <v>20880609</v>
      </c>
      <c r="K704">
        <v>37.47</v>
      </c>
      <c r="L704">
        <v>-4.72</v>
      </c>
      <c r="M704">
        <v>-9.31</v>
      </c>
      <c r="N704">
        <v>23.98</v>
      </c>
      <c r="O704">
        <v>116</v>
      </c>
      <c r="P704" t="s">
        <v>51</v>
      </c>
      <c r="Q704" t="s">
        <v>34</v>
      </c>
      <c r="R704" t="s">
        <v>74</v>
      </c>
      <c r="S704">
        <v>2019</v>
      </c>
      <c r="T704" t="s">
        <v>30</v>
      </c>
      <c r="U704">
        <v>17205</v>
      </c>
      <c r="V704">
        <v>28.6</v>
      </c>
      <c r="W704">
        <v>43.74</v>
      </c>
      <c r="X704">
        <v>38.01</v>
      </c>
      <c r="Y704">
        <v>13.99</v>
      </c>
    </row>
    <row r="705" spans="1:25" x14ac:dyDescent="0.3">
      <c r="A705" t="s">
        <v>111</v>
      </c>
      <c r="B705" t="str">
        <f t="shared" si="10"/>
        <v>Feb</v>
      </c>
      <c r="C705" t="s">
        <v>60</v>
      </c>
      <c r="D705" t="s">
        <v>61</v>
      </c>
      <c r="E705">
        <v>688544951007.35999</v>
      </c>
      <c r="F705">
        <v>58791.28</v>
      </c>
      <c r="G705">
        <v>27544496298.57</v>
      </c>
      <c r="H705">
        <v>15706792</v>
      </c>
      <c r="I705">
        <v>19247815</v>
      </c>
      <c r="J705">
        <v>19817807</v>
      </c>
      <c r="K705">
        <v>23.84</v>
      </c>
      <c r="L705">
        <v>0.56000000000000005</v>
      </c>
      <c r="M705">
        <v>7.94</v>
      </c>
      <c r="N705">
        <v>-17.52</v>
      </c>
      <c r="O705">
        <v>142</v>
      </c>
      <c r="P705" t="s">
        <v>46</v>
      </c>
      <c r="Q705" t="s">
        <v>41</v>
      </c>
      <c r="R705" t="s">
        <v>74</v>
      </c>
      <c r="S705">
        <v>2023</v>
      </c>
      <c r="T705" t="s">
        <v>30</v>
      </c>
      <c r="U705">
        <v>40599</v>
      </c>
      <c r="V705">
        <v>26.41</v>
      </c>
      <c r="W705">
        <v>41.56</v>
      </c>
      <c r="X705">
        <v>19.37</v>
      </c>
      <c r="Y705">
        <v>61.75</v>
      </c>
    </row>
    <row r="706" spans="1:25" x14ac:dyDescent="0.3">
      <c r="A706" t="s">
        <v>348</v>
      </c>
      <c r="B706" t="str">
        <f t="shared" ref="B706:B769" si="11">TEXT(A706,"MMM")</f>
        <v>May</v>
      </c>
      <c r="C706" t="s">
        <v>32</v>
      </c>
      <c r="D706" t="s">
        <v>33</v>
      </c>
      <c r="E706">
        <v>624308468278.79004</v>
      </c>
      <c r="F706">
        <v>5297.26</v>
      </c>
      <c r="G706">
        <v>33807541829.389999</v>
      </c>
      <c r="H706">
        <v>18709870</v>
      </c>
      <c r="I706">
        <v>19880328</v>
      </c>
      <c r="J706">
        <v>20748680</v>
      </c>
      <c r="K706">
        <v>30.23</v>
      </c>
      <c r="L706">
        <v>2.57</v>
      </c>
      <c r="M706">
        <v>11.71</v>
      </c>
      <c r="N706">
        <v>-4.43</v>
      </c>
      <c r="O706">
        <v>183</v>
      </c>
      <c r="P706" t="s">
        <v>53</v>
      </c>
      <c r="Q706" t="s">
        <v>57</v>
      </c>
      <c r="R706" t="s">
        <v>74</v>
      </c>
      <c r="S706">
        <v>2022</v>
      </c>
      <c r="T706" t="s">
        <v>36</v>
      </c>
      <c r="U706">
        <v>59337</v>
      </c>
      <c r="V706">
        <v>97.3</v>
      </c>
      <c r="W706">
        <v>72.22</v>
      </c>
      <c r="X706">
        <v>98.48</v>
      </c>
      <c r="Y706">
        <v>21.66</v>
      </c>
    </row>
    <row r="707" spans="1:25" x14ac:dyDescent="0.3">
      <c r="A707" t="s">
        <v>190</v>
      </c>
      <c r="B707" t="str">
        <f t="shared" si="11"/>
        <v>Aug</v>
      </c>
      <c r="C707" t="s">
        <v>55</v>
      </c>
      <c r="D707" t="s">
        <v>56</v>
      </c>
      <c r="E707">
        <v>792175026494.62</v>
      </c>
      <c r="F707">
        <v>35053.4</v>
      </c>
      <c r="G707">
        <v>21655796959.549999</v>
      </c>
      <c r="H707">
        <v>6788665</v>
      </c>
      <c r="I707">
        <v>11092377</v>
      </c>
      <c r="J707">
        <v>11950344</v>
      </c>
      <c r="K707">
        <v>44.83</v>
      </c>
      <c r="L707">
        <v>-1.18</v>
      </c>
      <c r="M707">
        <v>-9.11</v>
      </c>
      <c r="N707">
        <v>0.38</v>
      </c>
      <c r="O707">
        <v>70</v>
      </c>
      <c r="P707" t="s">
        <v>27</v>
      </c>
      <c r="Q707" t="s">
        <v>41</v>
      </c>
      <c r="R707" t="s">
        <v>29</v>
      </c>
      <c r="S707">
        <v>2013</v>
      </c>
      <c r="T707" t="s">
        <v>58</v>
      </c>
      <c r="U707">
        <v>23307</v>
      </c>
      <c r="V707">
        <v>53.54</v>
      </c>
      <c r="W707">
        <v>37.08</v>
      </c>
      <c r="X707">
        <v>80.17</v>
      </c>
      <c r="Y707">
        <v>74.209999999999994</v>
      </c>
    </row>
    <row r="708" spans="1:25" x14ac:dyDescent="0.3">
      <c r="A708" t="s">
        <v>59</v>
      </c>
      <c r="B708" t="str">
        <f t="shared" si="11"/>
        <v>Jan</v>
      </c>
      <c r="C708" t="s">
        <v>55</v>
      </c>
      <c r="D708" t="s">
        <v>56</v>
      </c>
      <c r="E708">
        <v>816878818282.06006</v>
      </c>
      <c r="F708">
        <v>59205.9</v>
      </c>
      <c r="G708">
        <v>17822225641.169998</v>
      </c>
      <c r="H708">
        <v>6352877</v>
      </c>
      <c r="I708">
        <v>10628018</v>
      </c>
      <c r="J708">
        <v>11462007</v>
      </c>
      <c r="K708">
        <v>16.47</v>
      </c>
      <c r="L708">
        <v>-1.43</v>
      </c>
      <c r="M708">
        <v>2</v>
      </c>
      <c r="N708">
        <v>-4.0199999999999996</v>
      </c>
      <c r="O708">
        <v>178</v>
      </c>
      <c r="P708" t="s">
        <v>40</v>
      </c>
      <c r="Q708" t="s">
        <v>28</v>
      </c>
      <c r="R708" t="s">
        <v>64</v>
      </c>
      <c r="S708">
        <v>2017</v>
      </c>
      <c r="T708" t="s">
        <v>58</v>
      </c>
      <c r="U708">
        <v>40380</v>
      </c>
      <c r="V708">
        <v>21.69</v>
      </c>
      <c r="W708">
        <v>98.14</v>
      </c>
      <c r="X708">
        <v>44.81</v>
      </c>
      <c r="Y708">
        <v>44.72</v>
      </c>
    </row>
    <row r="709" spans="1:25" x14ac:dyDescent="0.3">
      <c r="A709" t="s">
        <v>93</v>
      </c>
      <c r="B709" t="str">
        <f t="shared" si="11"/>
        <v>Jan</v>
      </c>
      <c r="C709" t="s">
        <v>68</v>
      </c>
      <c r="D709" t="s">
        <v>69</v>
      </c>
      <c r="E709">
        <v>180781176287.39001</v>
      </c>
      <c r="F709">
        <v>17461.43</v>
      </c>
      <c r="G709">
        <v>604632080.10000002</v>
      </c>
      <c r="H709">
        <v>13122145</v>
      </c>
      <c r="I709">
        <v>17045204</v>
      </c>
      <c r="J709">
        <v>17826685</v>
      </c>
      <c r="K709">
        <v>39.700000000000003</v>
      </c>
      <c r="L709">
        <v>-1.69</v>
      </c>
      <c r="M709">
        <v>15.62</v>
      </c>
      <c r="N709">
        <v>-28.35</v>
      </c>
      <c r="O709">
        <v>38</v>
      </c>
      <c r="P709" t="s">
        <v>40</v>
      </c>
      <c r="Q709" t="s">
        <v>41</v>
      </c>
      <c r="R709" t="s">
        <v>64</v>
      </c>
      <c r="S709">
        <v>2022</v>
      </c>
      <c r="T709" t="s">
        <v>36</v>
      </c>
      <c r="U709">
        <v>724</v>
      </c>
      <c r="V709">
        <v>66.28</v>
      </c>
      <c r="W709">
        <v>85.13</v>
      </c>
      <c r="X709">
        <v>56.07</v>
      </c>
      <c r="Y709">
        <v>34.840000000000003</v>
      </c>
    </row>
    <row r="710" spans="1:25" x14ac:dyDescent="0.3">
      <c r="A710" t="s">
        <v>232</v>
      </c>
      <c r="B710" t="str">
        <f t="shared" si="11"/>
        <v>Oct</v>
      </c>
      <c r="C710" t="s">
        <v>49</v>
      </c>
      <c r="D710" t="s">
        <v>50</v>
      </c>
      <c r="E710">
        <v>461585369005.41998</v>
      </c>
      <c r="F710">
        <v>59505.760000000002</v>
      </c>
      <c r="G710">
        <v>42960199358.849998</v>
      </c>
      <c r="H710">
        <v>1420572</v>
      </c>
      <c r="I710">
        <v>3483378</v>
      </c>
      <c r="J710">
        <v>3610518</v>
      </c>
      <c r="K710">
        <v>9.2899999999999991</v>
      </c>
      <c r="L710">
        <v>1.35</v>
      </c>
      <c r="M710">
        <v>9.2899999999999991</v>
      </c>
      <c r="N710">
        <v>5.75</v>
      </c>
      <c r="O710">
        <v>151</v>
      </c>
      <c r="P710" t="s">
        <v>53</v>
      </c>
      <c r="Q710" t="s">
        <v>28</v>
      </c>
      <c r="R710" t="s">
        <v>64</v>
      </c>
      <c r="S710">
        <v>2015</v>
      </c>
      <c r="T710" t="s">
        <v>36</v>
      </c>
      <c r="U710">
        <v>41297</v>
      </c>
      <c r="V710">
        <v>15.53</v>
      </c>
      <c r="W710">
        <v>60.39</v>
      </c>
      <c r="X710">
        <v>52.18</v>
      </c>
      <c r="Y710">
        <v>19.64</v>
      </c>
    </row>
    <row r="711" spans="1:25" x14ac:dyDescent="0.3">
      <c r="A711" t="s">
        <v>263</v>
      </c>
      <c r="B711" t="str">
        <f t="shared" si="11"/>
        <v>Apr</v>
      </c>
      <c r="C711" t="s">
        <v>78</v>
      </c>
      <c r="D711" t="s">
        <v>79</v>
      </c>
      <c r="E711">
        <v>893217566600.69995</v>
      </c>
      <c r="F711">
        <v>5311.79</v>
      </c>
      <c r="G711">
        <v>4884691777.1800003</v>
      </c>
      <c r="H711">
        <v>1886818</v>
      </c>
      <c r="I711">
        <v>3000773</v>
      </c>
      <c r="J711">
        <v>3178129</v>
      </c>
      <c r="K711">
        <v>2.4500000000000002</v>
      </c>
      <c r="L711">
        <v>-3.08</v>
      </c>
      <c r="M711">
        <v>3.16</v>
      </c>
      <c r="N711">
        <v>4.62</v>
      </c>
      <c r="O711">
        <v>29</v>
      </c>
      <c r="P711" t="s">
        <v>27</v>
      </c>
      <c r="Q711" t="s">
        <v>47</v>
      </c>
      <c r="R711" t="s">
        <v>64</v>
      </c>
      <c r="S711">
        <v>2018</v>
      </c>
      <c r="T711" t="s">
        <v>36</v>
      </c>
      <c r="U711">
        <v>39022</v>
      </c>
      <c r="V711">
        <v>27.77</v>
      </c>
      <c r="W711">
        <v>50.23</v>
      </c>
      <c r="X711">
        <v>89.2</v>
      </c>
      <c r="Y711">
        <v>53.38</v>
      </c>
    </row>
    <row r="712" spans="1:25" x14ac:dyDescent="0.3">
      <c r="A712" t="s">
        <v>215</v>
      </c>
      <c r="B712" t="str">
        <f t="shared" si="11"/>
        <v>Apr</v>
      </c>
      <c r="C712" t="s">
        <v>38</v>
      </c>
      <c r="D712" t="s">
        <v>39</v>
      </c>
      <c r="E712">
        <v>745401156234.43005</v>
      </c>
      <c r="F712">
        <v>6688.04</v>
      </c>
      <c r="G712">
        <v>19717121018.310001</v>
      </c>
      <c r="H712">
        <v>13938057</v>
      </c>
      <c r="I712">
        <v>17425633</v>
      </c>
      <c r="J712">
        <v>17728590</v>
      </c>
      <c r="K712">
        <v>15.47</v>
      </c>
      <c r="L712">
        <v>-4.99</v>
      </c>
      <c r="M712">
        <v>14.76</v>
      </c>
      <c r="N712">
        <v>22.63</v>
      </c>
      <c r="O712">
        <v>188</v>
      </c>
      <c r="P712" t="s">
        <v>40</v>
      </c>
      <c r="Q712" t="s">
        <v>41</v>
      </c>
      <c r="R712" t="s">
        <v>35</v>
      </c>
      <c r="S712">
        <v>2017</v>
      </c>
      <c r="T712" t="s">
        <v>36</v>
      </c>
      <c r="U712">
        <v>32163</v>
      </c>
      <c r="V712">
        <v>91.75</v>
      </c>
      <c r="W712">
        <v>49.99</v>
      </c>
      <c r="X712">
        <v>42.55</v>
      </c>
      <c r="Y712">
        <v>20.07</v>
      </c>
    </row>
    <row r="713" spans="1:25" x14ac:dyDescent="0.3">
      <c r="A713" t="s">
        <v>182</v>
      </c>
      <c r="B713" t="str">
        <f t="shared" si="11"/>
        <v>Jun</v>
      </c>
      <c r="C713" t="s">
        <v>38</v>
      </c>
      <c r="D713" t="s">
        <v>39</v>
      </c>
      <c r="E713">
        <v>149926331292.82001</v>
      </c>
      <c r="F713">
        <v>14264.97</v>
      </c>
      <c r="G713">
        <v>15006958522.09</v>
      </c>
      <c r="H713">
        <v>2621495</v>
      </c>
      <c r="I713">
        <v>3171574</v>
      </c>
      <c r="J713">
        <v>3174024</v>
      </c>
      <c r="K713">
        <v>16.440000000000001</v>
      </c>
      <c r="L713">
        <v>-1.64</v>
      </c>
      <c r="M713">
        <v>-19.57</v>
      </c>
      <c r="N713">
        <v>4.34</v>
      </c>
      <c r="O713">
        <v>130</v>
      </c>
      <c r="P713" t="s">
        <v>53</v>
      </c>
      <c r="Q713" t="s">
        <v>57</v>
      </c>
      <c r="R713" t="s">
        <v>35</v>
      </c>
      <c r="S713">
        <v>2015</v>
      </c>
      <c r="T713" t="s">
        <v>36</v>
      </c>
      <c r="U713">
        <v>63238</v>
      </c>
      <c r="V713">
        <v>25.59</v>
      </c>
      <c r="W713">
        <v>45.29</v>
      </c>
      <c r="X713">
        <v>28.61</v>
      </c>
      <c r="Y713">
        <v>92.57</v>
      </c>
    </row>
    <row r="714" spans="1:25" x14ac:dyDescent="0.3">
      <c r="A714" t="s">
        <v>287</v>
      </c>
      <c r="B714" t="str">
        <f t="shared" si="11"/>
        <v>Jan</v>
      </c>
      <c r="C714" t="s">
        <v>49</v>
      </c>
      <c r="D714" t="s">
        <v>50</v>
      </c>
      <c r="E714">
        <v>452735523279.57001</v>
      </c>
      <c r="F714">
        <v>66978.28</v>
      </c>
      <c r="G714">
        <v>19510709874.52</v>
      </c>
      <c r="H714">
        <v>12968980</v>
      </c>
      <c r="I714">
        <v>13110078</v>
      </c>
      <c r="J714">
        <v>13997208</v>
      </c>
      <c r="K714">
        <v>14.81</v>
      </c>
      <c r="L714">
        <v>1.58</v>
      </c>
      <c r="M714">
        <v>-9.7200000000000006</v>
      </c>
      <c r="N714">
        <v>36.47</v>
      </c>
      <c r="O714">
        <v>109</v>
      </c>
      <c r="P714" t="s">
        <v>51</v>
      </c>
      <c r="Q714" t="s">
        <v>41</v>
      </c>
      <c r="R714" t="s">
        <v>42</v>
      </c>
      <c r="S714">
        <v>2016</v>
      </c>
      <c r="T714" t="s">
        <v>36</v>
      </c>
      <c r="U714">
        <v>53808</v>
      </c>
      <c r="V714">
        <v>45.04</v>
      </c>
      <c r="W714">
        <v>21.04</v>
      </c>
      <c r="X714">
        <v>71.510000000000005</v>
      </c>
      <c r="Y714">
        <v>28.8</v>
      </c>
    </row>
    <row r="715" spans="1:25" x14ac:dyDescent="0.3">
      <c r="A715" t="s">
        <v>184</v>
      </c>
      <c r="B715" t="str">
        <f t="shared" si="11"/>
        <v>May</v>
      </c>
      <c r="C715" t="s">
        <v>38</v>
      </c>
      <c r="D715" t="s">
        <v>39</v>
      </c>
      <c r="E715">
        <v>217329922745.5</v>
      </c>
      <c r="F715">
        <v>5926.91</v>
      </c>
      <c r="G715">
        <v>6440402154.3800001</v>
      </c>
      <c r="H715">
        <v>2225524</v>
      </c>
      <c r="I715">
        <v>3372526</v>
      </c>
      <c r="J715">
        <v>4332462</v>
      </c>
      <c r="K715">
        <v>15.85</v>
      </c>
      <c r="L715">
        <v>3.48</v>
      </c>
      <c r="M715">
        <v>-18.760000000000002</v>
      </c>
      <c r="N715">
        <v>15.08</v>
      </c>
      <c r="O715">
        <v>137</v>
      </c>
      <c r="P715" t="s">
        <v>51</v>
      </c>
      <c r="Q715" t="s">
        <v>57</v>
      </c>
      <c r="R715" t="s">
        <v>74</v>
      </c>
      <c r="S715">
        <v>2020</v>
      </c>
      <c r="T715" t="s">
        <v>36</v>
      </c>
      <c r="U715">
        <v>55797</v>
      </c>
      <c r="V715">
        <v>14.97</v>
      </c>
      <c r="W715">
        <v>71.28</v>
      </c>
      <c r="X715">
        <v>67.2</v>
      </c>
      <c r="Y715">
        <v>35.47</v>
      </c>
    </row>
    <row r="716" spans="1:25" x14ac:dyDescent="0.3">
      <c r="A716" t="s">
        <v>290</v>
      </c>
      <c r="B716" t="str">
        <f t="shared" si="11"/>
        <v>Mar</v>
      </c>
      <c r="C716" t="s">
        <v>68</v>
      </c>
      <c r="D716" t="s">
        <v>69</v>
      </c>
      <c r="E716">
        <v>603750483061.30005</v>
      </c>
      <c r="F716">
        <v>23315.67</v>
      </c>
      <c r="G716">
        <v>47733657574.800003</v>
      </c>
      <c r="H716">
        <v>2708061</v>
      </c>
      <c r="I716">
        <v>3704316</v>
      </c>
      <c r="J716">
        <v>4322817</v>
      </c>
      <c r="K716">
        <v>5.51</v>
      </c>
      <c r="L716">
        <v>-4.54</v>
      </c>
      <c r="M716">
        <v>12.9</v>
      </c>
      <c r="N716">
        <v>8.91</v>
      </c>
      <c r="O716">
        <v>1</v>
      </c>
      <c r="P716" t="s">
        <v>46</v>
      </c>
      <c r="Q716" t="s">
        <v>57</v>
      </c>
      <c r="R716" t="s">
        <v>74</v>
      </c>
      <c r="S716">
        <v>2019</v>
      </c>
      <c r="T716" t="s">
        <v>36</v>
      </c>
      <c r="U716">
        <v>42504</v>
      </c>
      <c r="V716">
        <v>65.040000000000006</v>
      </c>
      <c r="W716">
        <v>29.3</v>
      </c>
      <c r="X716">
        <v>62.12</v>
      </c>
      <c r="Y716">
        <v>88.93</v>
      </c>
    </row>
    <row r="717" spans="1:25" x14ac:dyDescent="0.3">
      <c r="A717" t="s">
        <v>390</v>
      </c>
      <c r="B717" t="str">
        <f t="shared" si="11"/>
        <v>Mar</v>
      </c>
      <c r="C717" t="s">
        <v>32</v>
      </c>
      <c r="D717" t="s">
        <v>33</v>
      </c>
      <c r="E717">
        <v>571431147968.05005</v>
      </c>
      <c r="F717">
        <v>18457.259999999998</v>
      </c>
      <c r="G717">
        <v>24671516237.43</v>
      </c>
      <c r="H717">
        <v>11702907</v>
      </c>
      <c r="I717">
        <v>15229550</v>
      </c>
      <c r="J717">
        <v>15465673</v>
      </c>
      <c r="K717">
        <v>38.71</v>
      </c>
      <c r="L717">
        <v>4.9400000000000004</v>
      </c>
      <c r="M717">
        <v>-3.8</v>
      </c>
      <c r="N717">
        <v>24.34</v>
      </c>
      <c r="O717">
        <v>54</v>
      </c>
      <c r="P717" t="s">
        <v>27</v>
      </c>
      <c r="Q717" t="s">
        <v>28</v>
      </c>
      <c r="R717" t="s">
        <v>42</v>
      </c>
      <c r="S717">
        <v>2014</v>
      </c>
      <c r="T717" t="s">
        <v>36</v>
      </c>
      <c r="U717">
        <v>12950</v>
      </c>
      <c r="V717">
        <v>79.64</v>
      </c>
      <c r="W717">
        <v>36.130000000000003</v>
      </c>
      <c r="X717">
        <v>31.68</v>
      </c>
      <c r="Y717">
        <v>97.35</v>
      </c>
    </row>
    <row r="718" spans="1:25" x14ac:dyDescent="0.3">
      <c r="A718" t="s">
        <v>391</v>
      </c>
      <c r="B718" t="str">
        <f t="shared" si="11"/>
        <v>Jun</v>
      </c>
      <c r="C718" t="s">
        <v>78</v>
      </c>
      <c r="D718" t="s">
        <v>79</v>
      </c>
      <c r="E718">
        <v>165283275298.92999</v>
      </c>
      <c r="F718">
        <v>51311.17</v>
      </c>
      <c r="G718">
        <v>10837938246.799999</v>
      </c>
      <c r="H718">
        <v>15689697</v>
      </c>
      <c r="I718">
        <v>18994182</v>
      </c>
      <c r="J718">
        <v>19647551</v>
      </c>
      <c r="K718">
        <v>53.88</v>
      </c>
      <c r="L718">
        <v>-1.21</v>
      </c>
      <c r="M718">
        <v>-19.59</v>
      </c>
      <c r="N718">
        <v>-22.56</v>
      </c>
      <c r="O718">
        <v>42</v>
      </c>
      <c r="P718" t="s">
        <v>51</v>
      </c>
      <c r="Q718" t="s">
        <v>34</v>
      </c>
      <c r="R718" t="s">
        <v>35</v>
      </c>
      <c r="S718">
        <v>2016</v>
      </c>
      <c r="T718" t="s">
        <v>36</v>
      </c>
      <c r="U718">
        <v>8792</v>
      </c>
      <c r="V718">
        <v>76.44</v>
      </c>
      <c r="W718">
        <v>35.35</v>
      </c>
      <c r="X718">
        <v>96.9</v>
      </c>
      <c r="Y718">
        <v>79.31</v>
      </c>
    </row>
    <row r="719" spans="1:25" x14ac:dyDescent="0.3">
      <c r="A719" t="s">
        <v>192</v>
      </c>
      <c r="B719" t="str">
        <f t="shared" si="11"/>
        <v>Jun</v>
      </c>
      <c r="C719" t="s">
        <v>25</v>
      </c>
      <c r="D719" t="s">
        <v>26</v>
      </c>
      <c r="E719">
        <v>478871907380.91998</v>
      </c>
      <c r="F719">
        <v>84.64</v>
      </c>
      <c r="G719">
        <v>37320191417.639999</v>
      </c>
      <c r="H719">
        <v>4955930</v>
      </c>
      <c r="I719">
        <v>9098749</v>
      </c>
      <c r="J719">
        <v>9457642</v>
      </c>
      <c r="K719">
        <v>44.45</v>
      </c>
      <c r="L719">
        <v>-1.05</v>
      </c>
      <c r="M719">
        <v>-1.53</v>
      </c>
      <c r="N719">
        <v>-23.7</v>
      </c>
      <c r="O719">
        <v>96</v>
      </c>
      <c r="P719" t="s">
        <v>40</v>
      </c>
      <c r="Q719" t="s">
        <v>57</v>
      </c>
      <c r="R719" t="s">
        <v>64</v>
      </c>
      <c r="S719">
        <v>2016</v>
      </c>
      <c r="T719" t="s">
        <v>30</v>
      </c>
      <c r="U719">
        <v>56675</v>
      </c>
      <c r="V719">
        <v>73.62</v>
      </c>
      <c r="W719">
        <v>70.98</v>
      </c>
      <c r="X719">
        <v>67.31</v>
      </c>
      <c r="Y719">
        <v>36.53</v>
      </c>
    </row>
    <row r="720" spans="1:25" x14ac:dyDescent="0.3">
      <c r="A720" t="s">
        <v>387</v>
      </c>
      <c r="B720" t="str">
        <f t="shared" si="11"/>
        <v>Apr</v>
      </c>
      <c r="C720" t="s">
        <v>32</v>
      </c>
      <c r="D720" t="s">
        <v>33</v>
      </c>
      <c r="E720">
        <v>808778749218.43005</v>
      </c>
      <c r="F720">
        <v>49787.22</v>
      </c>
      <c r="G720">
        <v>39826315949.699997</v>
      </c>
      <c r="H720">
        <v>8819591</v>
      </c>
      <c r="I720">
        <v>12234531</v>
      </c>
      <c r="J720">
        <v>12313796</v>
      </c>
      <c r="K720">
        <v>55.06</v>
      </c>
      <c r="L720">
        <v>-0.91</v>
      </c>
      <c r="M720">
        <v>3.77</v>
      </c>
      <c r="N720">
        <v>2.38</v>
      </c>
      <c r="O720">
        <v>195</v>
      </c>
      <c r="P720" t="s">
        <v>40</v>
      </c>
      <c r="Q720" t="s">
        <v>57</v>
      </c>
      <c r="R720" t="s">
        <v>74</v>
      </c>
      <c r="S720">
        <v>2022</v>
      </c>
      <c r="T720" t="s">
        <v>36</v>
      </c>
      <c r="U720">
        <v>360</v>
      </c>
      <c r="V720">
        <v>15.72</v>
      </c>
      <c r="W720">
        <v>91.13</v>
      </c>
      <c r="X720">
        <v>56.28</v>
      </c>
      <c r="Y720">
        <v>85.03</v>
      </c>
    </row>
    <row r="721" spans="1:25" x14ac:dyDescent="0.3">
      <c r="A721" t="s">
        <v>160</v>
      </c>
      <c r="B721" t="str">
        <f t="shared" si="11"/>
        <v>Aug</v>
      </c>
      <c r="C721" t="s">
        <v>60</v>
      </c>
      <c r="D721" t="s">
        <v>61</v>
      </c>
      <c r="E721">
        <v>545110072322.06</v>
      </c>
      <c r="F721">
        <v>18168.64</v>
      </c>
      <c r="G721">
        <v>31549023211.209999</v>
      </c>
      <c r="H721">
        <v>18693575</v>
      </c>
      <c r="I721">
        <v>19395285</v>
      </c>
      <c r="J721">
        <v>19734035</v>
      </c>
      <c r="K721">
        <v>43.32</v>
      </c>
      <c r="L721">
        <v>-0.92</v>
      </c>
      <c r="M721">
        <v>-18.75</v>
      </c>
      <c r="N721">
        <v>8.2799999999999994</v>
      </c>
      <c r="O721">
        <v>64</v>
      </c>
      <c r="P721" t="s">
        <v>40</v>
      </c>
      <c r="Q721" t="s">
        <v>41</v>
      </c>
      <c r="R721" t="s">
        <v>42</v>
      </c>
      <c r="S721">
        <v>2021</v>
      </c>
      <c r="T721" t="s">
        <v>30</v>
      </c>
      <c r="U721">
        <v>6549</v>
      </c>
      <c r="V721">
        <v>52</v>
      </c>
      <c r="W721">
        <v>21.03</v>
      </c>
      <c r="X721">
        <v>54.5</v>
      </c>
      <c r="Y721">
        <v>46.72</v>
      </c>
    </row>
    <row r="722" spans="1:25" x14ac:dyDescent="0.3">
      <c r="A722" t="s">
        <v>260</v>
      </c>
      <c r="B722" t="str">
        <f t="shared" si="11"/>
        <v>Jul</v>
      </c>
      <c r="C722" t="s">
        <v>68</v>
      </c>
      <c r="D722" t="s">
        <v>69</v>
      </c>
      <c r="E722">
        <v>867612587129.87</v>
      </c>
      <c r="F722">
        <v>54382.27</v>
      </c>
      <c r="G722">
        <v>17954116492.830002</v>
      </c>
      <c r="H722">
        <v>18343377</v>
      </c>
      <c r="I722">
        <v>21530331</v>
      </c>
      <c r="J722">
        <v>22414519</v>
      </c>
      <c r="K722">
        <v>3.61</v>
      </c>
      <c r="L722">
        <v>4.01</v>
      </c>
      <c r="M722">
        <v>-7.62</v>
      </c>
      <c r="N722">
        <v>31.3</v>
      </c>
      <c r="O722">
        <v>91</v>
      </c>
      <c r="P722" t="s">
        <v>51</v>
      </c>
      <c r="Q722" t="s">
        <v>57</v>
      </c>
      <c r="R722" t="s">
        <v>74</v>
      </c>
      <c r="S722">
        <v>2017</v>
      </c>
      <c r="T722" t="s">
        <v>36</v>
      </c>
      <c r="U722">
        <v>61695</v>
      </c>
      <c r="V722">
        <v>43.19</v>
      </c>
      <c r="W722">
        <v>46.11</v>
      </c>
      <c r="X722">
        <v>78.64</v>
      </c>
      <c r="Y722">
        <v>55.67</v>
      </c>
    </row>
    <row r="723" spans="1:25" x14ac:dyDescent="0.3">
      <c r="A723" t="s">
        <v>242</v>
      </c>
      <c r="B723" t="str">
        <f t="shared" si="11"/>
        <v>Oct</v>
      </c>
      <c r="C723" t="s">
        <v>44</v>
      </c>
      <c r="D723" t="s">
        <v>45</v>
      </c>
      <c r="E723">
        <v>404429392116.29999</v>
      </c>
      <c r="F723">
        <v>32984.67</v>
      </c>
      <c r="G723">
        <v>5692425888.3199997</v>
      </c>
      <c r="H723">
        <v>2031252</v>
      </c>
      <c r="I723">
        <v>3574024</v>
      </c>
      <c r="J723">
        <v>3769043</v>
      </c>
      <c r="K723">
        <v>35.06</v>
      </c>
      <c r="L723">
        <v>0.79</v>
      </c>
      <c r="M723">
        <v>7.6</v>
      </c>
      <c r="N723">
        <v>4.21</v>
      </c>
      <c r="O723">
        <v>115</v>
      </c>
      <c r="P723" t="s">
        <v>51</v>
      </c>
      <c r="Q723" t="s">
        <v>34</v>
      </c>
      <c r="R723" t="s">
        <v>35</v>
      </c>
      <c r="S723">
        <v>2012</v>
      </c>
      <c r="T723" t="s">
        <v>36</v>
      </c>
      <c r="U723">
        <v>42265</v>
      </c>
      <c r="V723">
        <v>78.260000000000005</v>
      </c>
      <c r="W723">
        <v>31.69</v>
      </c>
      <c r="X723">
        <v>89.26</v>
      </c>
      <c r="Y723">
        <v>29.41</v>
      </c>
    </row>
    <row r="724" spans="1:25" x14ac:dyDescent="0.3">
      <c r="A724" t="s">
        <v>392</v>
      </c>
      <c r="B724" t="str">
        <f t="shared" si="11"/>
        <v>Dec</v>
      </c>
      <c r="C724" t="s">
        <v>49</v>
      </c>
      <c r="D724" t="s">
        <v>50</v>
      </c>
      <c r="E724">
        <v>507944234908.47998</v>
      </c>
      <c r="F724">
        <v>6569.44</v>
      </c>
      <c r="G724">
        <v>30993535094.73</v>
      </c>
      <c r="H724">
        <v>12648351</v>
      </c>
      <c r="I724">
        <v>16966678</v>
      </c>
      <c r="J724">
        <v>17034170</v>
      </c>
      <c r="K724">
        <v>46.57</v>
      </c>
      <c r="L724">
        <v>0.1</v>
      </c>
      <c r="M724">
        <v>0.78</v>
      </c>
      <c r="N724">
        <v>12.8</v>
      </c>
      <c r="O724">
        <v>97</v>
      </c>
      <c r="P724" t="s">
        <v>46</v>
      </c>
      <c r="Q724" t="s">
        <v>47</v>
      </c>
      <c r="R724" t="s">
        <v>64</v>
      </c>
      <c r="S724">
        <v>2021</v>
      </c>
      <c r="T724" t="s">
        <v>36</v>
      </c>
      <c r="U724">
        <v>22404</v>
      </c>
      <c r="V724">
        <v>20.66</v>
      </c>
      <c r="W724">
        <v>51.44</v>
      </c>
      <c r="X724">
        <v>48.4</v>
      </c>
      <c r="Y724">
        <v>61.74</v>
      </c>
    </row>
    <row r="725" spans="1:25" x14ac:dyDescent="0.3">
      <c r="A725" t="s">
        <v>292</v>
      </c>
      <c r="B725" t="str">
        <f t="shared" si="11"/>
        <v>Mar</v>
      </c>
      <c r="C725" t="s">
        <v>60</v>
      </c>
      <c r="D725" t="s">
        <v>61</v>
      </c>
      <c r="E725">
        <v>185861821195.17999</v>
      </c>
      <c r="F725">
        <v>6804.31</v>
      </c>
      <c r="G725">
        <v>47942497213.489998</v>
      </c>
      <c r="H725">
        <v>2864173</v>
      </c>
      <c r="I725">
        <v>6782158</v>
      </c>
      <c r="J725">
        <v>7240290</v>
      </c>
      <c r="K725">
        <v>53.41</v>
      </c>
      <c r="L725">
        <v>0.16</v>
      </c>
      <c r="M725">
        <v>-0.39</v>
      </c>
      <c r="N725">
        <v>-26.06</v>
      </c>
      <c r="O725">
        <v>82</v>
      </c>
      <c r="P725" t="s">
        <v>51</v>
      </c>
      <c r="Q725" t="s">
        <v>47</v>
      </c>
      <c r="R725" t="s">
        <v>35</v>
      </c>
      <c r="S725">
        <v>2015</v>
      </c>
      <c r="T725" t="s">
        <v>30</v>
      </c>
      <c r="U725">
        <v>51692</v>
      </c>
      <c r="V725">
        <v>90.38</v>
      </c>
      <c r="W725">
        <v>99.91</v>
      </c>
      <c r="X725">
        <v>80.209999999999994</v>
      </c>
      <c r="Y725">
        <v>96.61</v>
      </c>
    </row>
    <row r="726" spans="1:25" x14ac:dyDescent="0.3">
      <c r="A726" t="s">
        <v>248</v>
      </c>
      <c r="B726" t="str">
        <f t="shared" si="11"/>
        <v>May</v>
      </c>
      <c r="C726" t="s">
        <v>38</v>
      </c>
      <c r="D726" t="s">
        <v>39</v>
      </c>
      <c r="E726">
        <v>247209670585.07999</v>
      </c>
      <c r="F726">
        <v>59106.58</v>
      </c>
      <c r="G726">
        <v>36054611295.75</v>
      </c>
      <c r="H726">
        <v>16403390</v>
      </c>
      <c r="I726">
        <v>16791168</v>
      </c>
      <c r="J726">
        <v>17728403</v>
      </c>
      <c r="K726">
        <v>36.56</v>
      </c>
      <c r="L726">
        <v>-4.97</v>
      </c>
      <c r="M726">
        <v>-15.18</v>
      </c>
      <c r="N726">
        <v>-29.55</v>
      </c>
      <c r="O726">
        <v>56</v>
      </c>
      <c r="P726" t="s">
        <v>46</v>
      </c>
      <c r="Q726" t="s">
        <v>28</v>
      </c>
      <c r="R726" t="s">
        <v>29</v>
      </c>
      <c r="S726">
        <v>2015</v>
      </c>
      <c r="T726" t="s">
        <v>36</v>
      </c>
      <c r="U726">
        <v>44076</v>
      </c>
      <c r="V726">
        <v>84.68</v>
      </c>
      <c r="W726">
        <v>33.83</v>
      </c>
      <c r="X726">
        <v>87.48</v>
      </c>
      <c r="Y726">
        <v>32.19</v>
      </c>
    </row>
    <row r="727" spans="1:25" x14ac:dyDescent="0.3">
      <c r="A727" t="s">
        <v>307</v>
      </c>
      <c r="B727" t="str">
        <f t="shared" si="11"/>
        <v>Jan</v>
      </c>
      <c r="C727" t="s">
        <v>38</v>
      </c>
      <c r="D727" t="s">
        <v>39</v>
      </c>
      <c r="E727">
        <v>151756209167.23999</v>
      </c>
      <c r="F727">
        <v>60373.47</v>
      </c>
      <c r="G727">
        <v>21771052922.93</v>
      </c>
      <c r="H727">
        <v>14101831</v>
      </c>
      <c r="I727">
        <v>14954119</v>
      </c>
      <c r="J727">
        <v>15574568</v>
      </c>
      <c r="K727">
        <v>20.92</v>
      </c>
      <c r="L727">
        <v>4.0199999999999996</v>
      </c>
      <c r="M727">
        <v>-0.74</v>
      </c>
      <c r="N727">
        <v>-25.48</v>
      </c>
      <c r="O727">
        <v>191</v>
      </c>
      <c r="P727" t="s">
        <v>51</v>
      </c>
      <c r="Q727" t="s">
        <v>28</v>
      </c>
      <c r="R727" t="s">
        <v>74</v>
      </c>
      <c r="S727">
        <v>2017</v>
      </c>
      <c r="T727" t="s">
        <v>36</v>
      </c>
      <c r="U727">
        <v>11777</v>
      </c>
      <c r="V727">
        <v>57.32</v>
      </c>
      <c r="W727">
        <v>95.52</v>
      </c>
      <c r="X727">
        <v>20.94</v>
      </c>
      <c r="Y727">
        <v>75.84</v>
      </c>
    </row>
    <row r="728" spans="1:25" x14ac:dyDescent="0.3">
      <c r="A728" t="s">
        <v>215</v>
      </c>
      <c r="B728" t="str">
        <f t="shared" si="11"/>
        <v>Apr</v>
      </c>
      <c r="C728" t="s">
        <v>25</v>
      </c>
      <c r="D728" t="s">
        <v>26</v>
      </c>
      <c r="E728">
        <v>886513891784.81006</v>
      </c>
      <c r="F728">
        <v>29192.639999999999</v>
      </c>
      <c r="G728">
        <v>17885777110.93</v>
      </c>
      <c r="H728">
        <v>13860341</v>
      </c>
      <c r="I728">
        <v>14225952</v>
      </c>
      <c r="J728">
        <v>14608677</v>
      </c>
      <c r="K728">
        <v>40.21</v>
      </c>
      <c r="L728">
        <v>1.1299999999999999</v>
      </c>
      <c r="M728">
        <v>-4.4400000000000004</v>
      </c>
      <c r="N728">
        <v>-16.420000000000002</v>
      </c>
      <c r="O728">
        <v>16</v>
      </c>
      <c r="P728" t="s">
        <v>51</v>
      </c>
      <c r="Q728" t="s">
        <v>41</v>
      </c>
      <c r="R728" t="s">
        <v>29</v>
      </c>
      <c r="S728">
        <v>2017</v>
      </c>
      <c r="T728" t="s">
        <v>30</v>
      </c>
      <c r="U728">
        <v>63563</v>
      </c>
      <c r="V728">
        <v>60.31</v>
      </c>
      <c r="W728">
        <v>88.09</v>
      </c>
      <c r="X728">
        <v>78.790000000000006</v>
      </c>
      <c r="Y728">
        <v>29.13</v>
      </c>
    </row>
    <row r="729" spans="1:25" x14ac:dyDescent="0.3">
      <c r="A729" t="s">
        <v>393</v>
      </c>
      <c r="B729" t="str">
        <f t="shared" si="11"/>
        <v>Mar</v>
      </c>
      <c r="C729" t="s">
        <v>60</v>
      </c>
      <c r="D729" t="s">
        <v>61</v>
      </c>
      <c r="E729">
        <v>594984921705.03003</v>
      </c>
      <c r="F729">
        <v>36420.51</v>
      </c>
      <c r="G729">
        <v>41026420746.82</v>
      </c>
      <c r="H729">
        <v>10846663</v>
      </c>
      <c r="I729">
        <v>11971604</v>
      </c>
      <c r="J729">
        <v>12473799</v>
      </c>
      <c r="K729">
        <v>27</v>
      </c>
      <c r="L729">
        <v>-1.04</v>
      </c>
      <c r="M729">
        <v>-16.88</v>
      </c>
      <c r="N729">
        <v>29.18</v>
      </c>
      <c r="O729">
        <v>14</v>
      </c>
      <c r="P729" t="s">
        <v>27</v>
      </c>
      <c r="Q729" t="s">
        <v>34</v>
      </c>
      <c r="R729" t="s">
        <v>42</v>
      </c>
      <c r="S729">
        <v>2014</v>
      </c>
      <c r="T729" t="s">
        <v>30</v>
      </c>
      <c r="U729">
        <v>56267</v>
      </c>
      <c r="V729">
        <v>13.41</v>
      </c>
      <c r="W729">
        <v>59.84</v>
      </c>
      <c r="X729">
        <v>75.69</v>
      </c>
      <c r="Y729">
        <v>54.61</v>
      </c>
    </row>
    <row r="730" spans="1:25" x14ac:dyDescent="0.3">
      <c r="A730" t="s">
        <v>63</v>
      </c>
      <c r="B730" t="str">
        <f t="shared" si="11"/>
        <v>Jun</v>
      </c>
      <c r="C730" t="s">
        <v>55</v>
      </c>
      <c r="D730" t="s">
        <v>56</v>
      </c>
      <c r="E730">
        <v>763693920304.25</v>
      </c>
      <c r="F730">
        <v>36253.83</v>
      </c>
      <c r="G730">
        <v>3140837520.6799998</v>
      </c>
      <c r="H730">
        <v>12397579</v>
      </c>
      <c r="I730">
        <v>15337984</v>
      </c>
      <c r="J730">
        <v>15882216</v>
      </c>
      <c r="K730">
        <v>26.8</v>
      </c>
      <c r="L730">
        <v>1.1499999999999999</v>
      </c>
      <c r="M730">
        <v>16.32</v>
      </c>
      <c r="N730">
        <v>12.71</v>
      </c>
      <c r="O730">
        <v>84</v>
      </c>
      <c r="P730" t="s">
        <v>27</v>
      </c>
      <c r="Q730" t="s">
        <v>28</v>
      </c>
      <c r="R730" t="s">
        <v>35</v>
      </c>
      <c r="S730">
        <v>2015</v>
      </c>
      <c r="T730" t="s">
        <v>58</v>
      </c>
      <c r="U730">
        <v>41262</v>
      </c>
      <c r="V730">
        <v>55.77</v>
      </c>
      <c r="W730">
        <v>93.8</v>
      </c>
      <c r="X730">
        <v>68.8</v>
      </c>
      <c r="Y730">
        <v>85.97</v>
      </c>
    </row>
    <row r="731" spans="1:25" x14ac:dyDescent="0.3">
      <c r="A731" t="s">
        <v>191</v>
      </c>
      <c r="B731" t="str">
        <f t="shared" si="11"/>
        <v>Jul</v>
      </c>
      <c r="C731" t="s">
        <v>44</v>
      </c>
      <c r="D731" t="s">
        <v>45</v>
      </c>
      <c r="E731">
        <v>287826854005.31</v>
      </c>
      <c r="F731">
        <v>6257.79</v>
      </c>
      <c r="G731">
        <v>17398213579.560001</v>
      </c>
      <c r="H731">
        <v>14544716</v>
      </c>
      <c r="I731">
        <v>16530608</v>
      </c>
      <c r="J731">
        <v>16769830</v>
      </c>
      <c r="K731">
        <v>6.21</v>
      </c>
      <c r="L731">
        <v>1.52</v>
      </c>
      <c r="M731">
        <v>-12.29</v>
      </c>
      <c r="N731">
        <v>-29.91</v>
      </c>
      <c r="O731">
        <v>151</v>
      </c>
      <c r="P731" t="s">
        <v>40</v>
      </c>
      <c r="Q731" t="s">
        <v>47</v>
      </c>
      <c r="R731" t="s">
        <v>42</v>
      </c>
      <c r="S731">
        <v>2015</v>
      </c>
      <c r="T731" t="s">
        <v>36</v>
      </c>
      <c r="U731">
        <v>62927</v>
      </c>
      <c r="V731">
        <v>77.239999999999995</v>
      </c>
      <c r="W731">
        <v>58.57</v>
      </c>
      <c r="X731">
        <v>41.79</v>
      </c>
      <c r="Y731">
        <v>34.770000000000003</v>
      </c>
    </row>
    <row r="732" spans="1:25" x14ac:dyDescent="0.3">
      <c r="A732" t="s">
        <v>199</v>
      </c>
      <c r="B732" t="str">
        <f t="shared" si="11"/>
        <v>Jan</v>
      </c>
      <c r="C732" t="s">
        <v>49</v>
      </c>
      <c r="D732" t="s">
        <v>50</v>
      </c>
      <c r="E732">
        <v>760226136503.27002</v>
      </c>
      <c r="F732">
        <v>68618.12</v>
      </c>
      <c r="G732">
        <v>19923444745.139999</v>
      </c>
      <c r="H732">
        <v>10483398</v>
      </c>
      <c r="I732">
        <v>12509221</v>
      </c>
      <c r="J732">
        <v>12870417</v>
      </c>
      <c r="K732">
        <v>59.42</v>
      </c>
      <c r="L732">
        <v>1.79</v>
      </c>
      <c r="M732">
        <v>-1.28</v>
      </c>
      <c r="N732">
        <v>26.28</v>
      </c>
      <c r="O732">
        <v>182</v>
      </c>
      <c r="P732" t="s">
        <v>40</v>
      </c>
      <c r="Q732" t="s">
        <v>34</v>
      </c>
      <c r="R732" t="s">
        <v>64</v>
      </c>
      <c r="S732">
        <v>2020</v>
      </c>
      <c r="T732" t="s">
        <v>36</v>
      </c>
      <c r="U732">
        <v>10237</v>
      </c>
      <c r="V732">
        <v>51.41</v>
      </c>
      <c r="W732">
        <v>61.92</v>
      </c>
      <c r="X732">
        <v>65.430000000000007</v>
      </c>
      <c r="Y732">
        <v>79.680000000000007</v>
      </c>
    </row>
    <row r="733" spans="1:25" x14ac:dyDescent="0.3">
      <c r="A733" t="s">
        <v>142</v>
      </c>
      <c r="B733" t="str">
        <f t="shared" si="11"/>
        <v>Apr</v>
      </c>
      <c r="C733" t="s">
        <v>38</v>
      </c>
      <c r="D733" t="s">
        <v>39</v>
      </c>
      <c r="E733">
        <v>565102378486.81995</v>
      </c>
      <c r="F733">
        <v>5145.95</v>
      </c>
      <c r="G733">
        <v>32711584983.150002</v>
      </c>
      <c r="H733">
        <v>5777535</v>
      </c>
      <c r="I733">
        <v>7032920</v>
      </c>
      <c r="J733">
        <v>7297224</v>
      </c>
      <c r="K733">
        <v>27.74</v>
      </c>
      <c r="L733">
        <v>3.58</v>
      </c>
      <c r="M733">
        <v>-5</v>
      </c>
      <c r="N733">
        <v>12.43</v>
      </c>
      <c r="O733">
        <v>29</v>
      </c>
      <c r="P733" t="s">
        <v>53</v>
      </c>
      <c r="Q733" t="s">
        <v>41</v>
      </c>
      <c r="R733" t="s">
        <v>64</v>
      </c>
      <c r="S733">
        <v>2011</v>
      </c>
      <c r="T733" t="s">
        <v>36</v>
      </c>
      <c r="U733">
        <v>48138</v>
      </c>
      <c r="V733">
        <v>58.13</v>
      </c>
      <c r="W733">
        <v>23.09</v>
      </c>
      <c r="X733">
        <v>81.92</v>
      </c>
      <c r="Y733">
        <v>25.42</v>
      </c>
    </row>
    <row r="734" spans="1:25" x14ac:dyDescent="0.3">
      <c r="A734" t="s">
        <v>280</v>
      </c>
      <c r="B734" t="str">
        <f t="shared" si="11"/>
        <v>Nov</v>
      </c>
      <c r="C734" t="s">
        <v>68</v>
      </c>
      <c r="D734" t="s">
        <v>69</v>
      </c>
      <c r="E734">
        <v>278804210779.71002</v>
      </c>
      <c r="F734">
        <v>28503.37</v>
      </c>
      <c r="G734">
        <v>20506843085.939999</v>
      </c>
      <c r="H734">
        <v>11299027</v>
      </c>
      <c r="I734">
        <v>15696202</v>
      </c>
      <c r="J734">
        <v>15927311</v>
      </c>
      <c r="K734">
        <v>19.07</v>
      </c>
      <c r="L734">
        <v>1.2</v>
      </c>
      <c r="M734">
        <v>0.43</v>
      </c>
      <c r="N734">
        <v>20.79</v>
      </c>
      <c r="O734">
        <v>26</v>
      </c>
      <c r="P734" t="s">
        <v>46</v>
      </c>
      <c r="Q734" t="s">
        <v>41</v>
      </c>
      <c r="R734" t="s">
        <v>64</v>
      </c>
      <c r="S734">
        <v>2012</v>
      </c>
      <c r="T734" t="s">
        <v>36</v>
      </c>
      <c r="U734">
        <v>21576</v>
      </c>
      <c r="V734">
        <v>23.95</v>
      </c>
      <c r="W734">
        <v>55.62</v>
      </c>
      <c r="X734">
        <v>76.03</v>
      </c>
      <c r="Y734">
        <v>19.079999999999998</v>
      </c>
    </row>
    <row r="735" spans="1:25" x14ac:dyDescent="0.3">
      <c r="A735" t="s">
        <v>338</v>
      </c>
      <c r="B735" t="str">
        <f t="shared" si="11"/>
        <v>Sep</v>
      </c>
      <c r="C735" t="s">
        <v>78</v>
      </c>
      <c r="D735" t="s">
        <v>79</v>
      </c>
      <c r="E735">
        <v>782464116807.18994</v>
      </c>
      <c r="F735">
        <v>6533.19</v>
      </c>
      <c r="G735">
        <v>34293237954.900002</v>
      </c>
      <c r="H735">
        <v>3671430</v>
      </c>
      <c r="I735">
        <v>5954780</v>
      </c>
      <c r="J735">
        <v>6223421</v>
      </c>
      <c r="K735">
        <v>20.260000000000002</v>
      </c>
      <c r="L735">
        <v>0.97</v>
      </c>
      <c r="M735">
        <v>-11.83</v>
      </c>
      <c r="N735">
        <v>-39.86</v>
      </c>
      <c r="O735">
        <v>99</v>
      </c>
      <c r="P735" t="s">
        <v>51</v>
      </c>
      <c r="Q735" t="s">
        <v>47</v>
      </c>
      <c r="R735" t="s">
        <v>35</v>
      </c>
      <c r="S735">
        <v>2014</v>
      </c>
      <c r="T735" t="s">
        <v>36</v>
      </c>
      <c r="U735">
        <v>30227</v>
      </c>
      <c r="V735">
        <v>50.48</v>
      </c>
      <c r="W735">
        <v>21.33</v>
      </c>
      <c r="X735">
        <v>97.09</v>
      </c>
      <c r="Y735">
        <v>70.44</v>
      </c>
    </row>
    <row r="736" spans="1:25" x14ac:dyDescent="0.3">
      <c r="A736" t="s">
        <v>350</v>
      </c>
      <c r="B736" t="str">
        <f t="shared" si="11"/>
        <v>Oct</v>
      </c>
      <c r="C736" t="s">
        <v>32</v>
      </c>
      <c r="D736" t="s">
        <v>33</v>
      </c>
      <c r="E736">
        <v>138798337852.07999</v>
      </c>
      <c r="F736">
        <v>17966.11</v>
      </c>
      <c r="G736">
        <v>18907851365.380001</v>
      </c>
      <c r="H736">
        <v>11762745</v>
      </c>
      <c r="I736">
        <v>12020788</v>
      </c>
      <c r="J736">
        <v>12219225</v>
      </c>
      <c r="K736">
        <v>21.3</v>
      </c>
      <c r="L736">
        <v>2.52</v>
      </c>
      <c r="M736">
        <v>-7.58</v>
      </c>
      <c r="N736">
        <v>12.61</v>
      </c>
      <c r="O736">
        <v>159</v>
      </c>
      <c r="P736" t="s">
        <v>46</v>
      </c>
      <c r="Q736" t="s">
        <v>47</v>
      </c>
      <c r="R736" t="s">
        <v>42</v>
      </c>
      <c r="S736">
        <v>2018</v>
      </c>
      <c r="T736" t="s">
        <v>36</v>
      </c>
      <c r="U736">
        <v>40944</v>
      </c>
      <c r="V736">
        <v>32.549999999999997</v>
      </c>
      <c r="W736">
        <v>63.85</v>
      </c>
      <c r="X736">
        <v>99.71</v>
      </c>
      <c r="Y736">
        <v>35.22</v>
      </c>
    </row>
    <row r="737" spans="1:25" x14ac:dyDescent="0.3">
      <c r="A737" t="s">
        <v>128</v>
      </c>
      <c r="B737" t="str">
        <f t="shared" si="11"/>
        <v>Nov</v>
      </c>
      <c r="C737" t="s">
        <v>32</v>
      </c>
      <c r="D737" t="s">
        <v>33</v>
      </c>
      <c r="E737">
        <v>395045666754.58002</v>
      </c>
      <c r="F737">
        <v>68611.839999999997</v>
      </c>
      <c r="G737">
        <v>12371959625.07</v>
      </c>
      <c r="H737">
        <v>17024297</v>
      </c>
      <c r="I737">
        <v>17940807</v>
      </c>
      <c r="J737">
        <v>18924843</v>
      </c>
      <c r="K737">
        <v>16.940000000000001</v>
      </c>
      <c r="L737">
        <v>-0.34</v>
      </c>
      <c r="M737">
        <v>16.96</v>
      </c>
      <c r="N737">
        <v>-24.03</v>
      </c>
      <c r="O737">
        <v>1</v>
      </c>
      <c r="P737" t="s">
        <v>53</v>
      </c>
      <c r="Q737" t="s">
        <v>41</v>
      </c>
      <c r="R737" t="s">
        <v>42</v>
      </c>
      <c r="S737">
        <v>2012</v>
      </c>
      <c r="T737" t="s">
        <v>36</v>
      </c>
      <c r="U737">
        <v>28333</v>
      </c>
      <c r="V737">
        <v>65.459999999999994</v>
      </c>
      <c r="W737">
        <v>87.55</v>
      </c>
      <c r="X737">
        <v>99.04</v>
      </c>
      <c r="Y737">
        <v>34.32</v>
      </c>
    </row>
    <row r="738" spans="1:25" x14ac:dyDescent="0.3">
      <c r="A738" t="s">
        <v>332</v>
      </c>
      <c r="B738" t="str">
        <f t="shared" si="11"/>
        <v>Aug</v>
      </c>
      <c r="C738" t="s">
        <v>38</v>
      </c>
      <c r="D738" t="s">
        <v>39</v>
      </c>
      <c r="E738">
        <v>206781515134.28</v>
      </c>
      <c r="F738">
        <v>44613.25</v>
      </c>
      <c r="G738">
        <v>46292114871.360001</v>
      </c>
      <c r="H738">
        <v>6127620</v>
      </c>
      <c r="I738">
        <v>6519279</v>
      </c>
      <c r="J738">
        <v>6641345</v>
      </c>
      <c r="K738">
        <v>56.4</v>
      </c>
      <c r="L738">
        <v>-0.56000000000000005</v>
      </c>
      <c r="M738">
        <v>-12.23</v>
      </c>
      <c r="N738">
        <v>-21.2</v>
      </c>
      <c r="O738">
        <v>115</v>
      </c>
      <c r="P738" t="s">
        <v>27</v>
      </c>
      <c r="Q738" t="s">
        <v>41</v>
      </c>
      <c r="R738" t="s">
        <v>35</v>
      </c>
      <c r="S738">
        <v>2013</v>
      </c>
      <c r="T738" t="s">
        <v>36</v>
      </c>
      <c r="U738">
        <v>21853</v>
      </c>
      <c r="V738">
        <v>70.25</v>
      </c>
      <c r="W738">
        <v>50.32</v>
      </c>
      <c r="X738">
        <v>21.05</v>
      </c>
      <c r="Y738">
        <v>35.49</v>
      </c>
    </row>
    <row r="739" spans="1:25" x14ac:dyDescent="0.3">
      <c r="A739" t="s">
        <v>136</v>
      </c>
      <c r="B739" t="str">
        <f t="shared" si="11"/>
        <v>Aug</v>
      </c>
      <c r="C739" t="s">
        <v>25</v>
      </c>
      <c r="D739" t="s">
        <v>26</v>
      </c>
      <c r="E739">
        <v>540409528241.53003</v>
      </c>
      <c r="F739">
        <v>58571.47</v>
      </c>
      <c r="G739">
        <v>3509866696.23</v>
      </c>
      <c r="H739">
        <v>3586936</v>
      </c>
      <c r="I739">
        <v>7398276</v>
      </c>
      <c r="J739">
        <v>7877834</v>
      </c>
      <c r="K739">
        <v>58.39</v>
      </c>
      <c r="L739">
        <v>-4.95</v>
      </c>
      <c r="M739">
        <v>-2.86</v>
      </c>
      <c r="N739">
        <v>10.68</v>
      </c>
      <c r="O739">
        <v>136</v>
      </c>
      <c r="P739" t="s">
        <v>27</v>
      </c>
      <c r="Q739" t="s">
        <v>41</v>
      </c>
      <c r="R739" t="s">
        <v>74</v>
      </c>
      <c r="S739">
        <v>2010</v>
      </c>
      <c r="T739" t="s">
        <v>30</v>
      </c>
      <c r="U739">
        <v>2424</v>
      </c>
      <c r="V739">
        <v>62.81</v>
      </c>
      <c r="W739">
        <v>54.22</v>
      </c>
      <c r="X739">
        <v>46.62</v>
      </c>
      <c r="Y739">
        <v>10.24</v>
      </c>
    </row>
    <row r="740" spans="1:25" x14ac:dyDescent="0.3">
      <c r="A740" t="s">
        <v>88</v>
      </c>
      <c r="B740" t="str">
        <f t="shared" si="11"/>
        <v>Mar</v>
      </c>
      <c r="C740" t="s">
        <v>68</v>
      </c>
      <c r="D740" t="s">
        <v>69</v>
      </c>
      <c r="E740">
        <v>124925628105.77</v>
      </c>
      <c r="F740">
        <v>52364.46</v>
      </c>
      <c r="G740">
        <v>14950294873.59</v>
      </c>
      <c r="H740">
        <v>14034951</v>
      </c>
      <c r="I740">
        <v>18440775</v>
      </c>
      <c r="J740">
        <v>18617242</v>
      </c>
      <c r="K740">
        <v>31.69</v>
      </c>
      <c r="L740">
        <v>-4.29</v>
      </c>
      <c r="M740">
        <v>9.75</v>
      </c>
      <c r="N740">
        <v>-17.399999999999999</v>
      </c>
      <c r="O740">
        <v>5</v>
      </c>
      <c r="P740" t="s">
        <v>40</v>
      </c>
      <c r="Q740" t="s">
        <v>28</v>
      </c>
      <c r="R740" t="s">
        <v>74</v>
      </c>
      <c r="S740">
        <v>2012</v>
      </c>
      <c r="T740" t="s">
        <v>36</v>
      </c>
      <c r="U740">
        <v>57476</v>
      </c>
      <c r="V740">
        <v>36.47</v>
      </c>
      <c r="W740">
        <v>51.85</v>
      </c>
      <c r="X740">
        <v>17.96</v>
      </c>
      <c r="Y740">
        <v>62.59</v>
      </c>
    </row>
    <row r="741" spans="1:25" x14ac:dyDescent="0.3">
      <c r="A741" t="s">
        <v>229</v>
      </c>
      <c r="B741" t="str">
        <f t="shared" si="11"/>
        <v>Oct</v>
      </c>
      <c r="C741" t="s">
        <v>55</v>
      </c>
      <c r="D741" t="s">
        <v>56</v>
      </c>
      <c r="E741">
        <v>846900502522.41003</v>
      </c>
      <c r="F741">
        <v>36282.239999999998</v>
      </c>
      <c r="G741">
        <v>24140702404.380001</v>
      </c>
      <c r="H741">
        <v>14367735</v>
      </c>
      <c r="I741">
        <v>14982994</v>
      </c>
      <c r="J741">
        <v>15919766</v>
      </c>
      <c r="K741">
        <v>5.93</v>
      </c>
      <c r="L741">
        <v>-1.39</v>
      </c>
      <c r="M741">
        <v>-14.76</v>
      </c>
      <c r="N741">
        <v>13.29</v>
      </c>
      <c r="O741">
        <v>60</v>
      </c>
      <c r="P741" t="s">
        <v>27</v>
      </c>
      <c r="Q741" t="s">
        <v>28</v>
      </c>
      <c r="R741" t="s">
        <v>74</v>
      </c>
      <c r="S741">
        <v>2023</v>
      </c>
      <c r="T741" t="s">
        <v>58</v>
      </c>
      <c r="U741">
        <v>53309</v>
      </c>
      <c r="V741">
        <v>14.01</v>
      </c>
      <c r="W741">
        <v>88.29</v>
      </c>
      <c r="X741">
        <v>50.1</v>
      </c>
      <c r="Y741">
        <v>64.97</v>
      </c>
    </row>
    <row r="742" spans="1:25" x14ac:dyDescent="0.3">
      <c r="A742" t="s">
        <v>87</v>
      </c>
      <c r="B742" t="str">
        <f t="shared" si="11"/>
        <v>Jun</v>
      </c>
      <c r="C742" t="s">
        <v>49</v>
      </c>
      <c r="D742" t="s">
        <v>50</v>
      </c>
      <c r="E742">
        <v>305971238259.06</v>
      </c>
      <c r="F742">
        <v>34292.51</v>
      </c>
      <c r="G742">
        <v>14709985178.23</v>
      </c>
      <c r="H742">
        <v>1226796</v>
      </c>
      <c r="I742">
        <v>5432319</v>
      </c>
      <c r="J742">
        <v>6368885</v>
      </c>
      <c r="K742">
        <v>2.89</v>
      </c>
      <c r="L742">
        <v>1.38</v>
      </c>
      <c r="M742">
        <v>-18.940000000000001</v>
      </c>
      <c r="N742">
        <v>-37.6</v>
      </c>
      <c r="O742">
        <v>28</v>
      </c>
      <c r="P742" t="s">
        <v>46</v>
      </c>
      <c r="Q742" t="s">
        <v>28</v>
      </c>
      <c r="R742" t="s">
        <v>35</v>
      </c>
      <c r="S742">
        <v>2019</v>
      </c>
      <c r="T742" t="s">
        <v>36</v>
      </c>
      <c r="U742">
        <v>25707</v>
      </c>
      <c r="V742">
        <v>46.57</v>
      </c>
      <c r="W742">
        <v>56.27</v>
      </c>
      <c r="X742">
        <v>28.97</v>
      </c>
      <c r="Y742">
        <v>81.27</v>
      </c>
    </row>
    <row r="743" spans="1:25" x14ac:dyDescent="0.3">
      <c r="A743" t="s">
        <v>271</v>
      </c>
      <c r="B743" t="str">
        <f t="shared" si="11"/>
        <v>May</v>
      </c>
      <c r="C743" t="s">
        <v>32</v>
      </c>
      <c r="D743" t="s">
        <v>33</v>
      </c>
      <c r="E743">
        <v>184431986330.53</v>
      </c>
      <c r="F743">
        <v>31705.99</v>
      </c>
      <c r="G743">
        <v>24617628189.759998</v>
      </c>
      <c r="H743">
        <v>1128913</v>
      </c>
      <c r="I743">
        <v>2900767</v>
      </c>
      <c r="J743">
        <v>3060601</v>
      </c>
      <c r="K743">
        <v>28.46</v>
      </c>
      <c r="L743">
        <v>-2.7</v>
      </c>
      <c r="M743">
        <v>-10.8</v>
      </c>
      <c r="N743">
        <v>15.4</v>
      </c>
      <c r="O743">
        <v>131</v>
      </c>
      <c r="P743" t="s">
        <v>46</v>
      </c>
      <c r="Q743" t="s">
        <v>47</v>
      </c>
      <c r="R743" t="s">
        <v>42</v>
      </c>
      <c r="S743">
        <v>2011</v>
      </c>
      <c r="T743" t="s">
        <v>36</v>
      </c>
      <c r="U743">
        <v>52815</v>
      </c>
      <c r="V743">
        <v>86.99</v>
      </c>
      <c r="W743">
        <v>26.31</v>
      </c>
      <c r="X743">
        <v>85.33</v>
      </c>
      <c r="Y743">
        <v>64.959999999999994</v>
      </c>
    </row>
    <row r="744" spans="1:25" x14ac:dyDescent="0.3">
      <c r="A744" t="s">
        <v>122</v>
      </c>
      <c r="B744" t="str">
        <f t="shared" si="11"/>
        <v>Jul</v>
      </c>
      <c r="C744" t="s">
        <v>90</v>
      </c>
      <c r="D744" t="s">
        <v>91</v>
      </c>
      <c r="E744">
        <v>559604768679.69995</v>
      </c>
      <c r="F744">
        <v>18781.04</v>
      </c>
      <c r="G744">
        <v>19617866099.82</v>
      </c>
      <c r="H744">
        <v>2332753</v>
      </c>
      <c r="I744">
        <v>4018839</v>
      </c>
      <c r="J744">
        <v>4367526</v>
      </c>
      <c r="K744">
        <v>15.09</v>
      </c>
      <c r="L744">
        <v>1.86</v>
      </c>
      <c r="M744">
        <v>12.76</v>
      </c>
      <c r="N744">
        <v>29.59</v>
      </c>
      <c r="O744">
        <v>128</v>
      </c>
      <c r="P744" t="s">
        <v>27</v>
      </c>
      <c r="Q744" t="s">
        <v>57</v>
      </c>
      <c r="R744" t="s">
        <v>64</v>
      </c>
      <c r="S744">
        <v>2010</v>
      </c>
      <c r="T744" t="s">
        <v>30</v>
      </c>
      <c r="U744">
        <v>33452</v>
      </c>
      <c r="V744">
        <v>18.43</v>
      </c>
      <c r="W744">
        <v>80.22</v>
      </c>
      <c r="X744">
        <v>37.4</v>
      </c>
      <c r="Y744">
        <v>18.559999999999999</v>
      </c>
    </row>
    <row r="745" spans="1:25" x14ac:dyDescent="0.3">
      <c r="A745" t="s">
        <v>394</v>
      </c>
      <c r="B745" t="str">
        <f t="shared" si="11"/>
        <v>Sep</v>
      </c>
      <c r="C745" t="s">
        <v>44</v>
      </c>
      <c r="D745" t="s">
        <v>45</v>
      </c>
      <c r="E745">
        <v>462849518885.20001</v>
      </c>
      <c r="F745">
        <v>67722.38</v>
      </c>
      <c r="G745">
        <v>11974631773.16</v>
      </c>
      <c r="H745">
        <v>6681498</v>
      </c>
      <c r="I745">
        <v>8136846</v>
      </c>
      <c r="J745">
        <v>8174761</v>
      </c>
      <c r="K745">
        <v>2.09</v>
      </c>
      <c r="L745">
        <v>0.31</v>
      </c>
      <c r="M745">
        <v>-4.8099999999999996</v>
      </c>
      <c r="N745">
        <v>16.86</v>
      </c>
      <c r="O745">
        <v>6</v>
      </c>
      <c r="P745" t="s">
        <v>53</v>
      </c>
      <c r="Q745" t="s">
        <v>28</v>
      </c>
      <c r="R745" t="s">
        <v>64</v>
      </c>
      <c r="S745">
        <v>2021</v>
      </c>
      <c r="T745" t="s">
        <v>36</v>
      </c>
      <c r="U745">
        <v>19381</v>
      </c>
      <c r="V745">
        <v>13.01</v>
      </c>
      <c r="W745">
        <v>91.09</v>
      </c>
      <c r="X745">
        <v>86.11</v>
      </c>
      <c r="Y745">
        <v>55.76</v>
      </c>
    </row>
    <row r="746" spans="1:25" x14ac:dyDescent="0.3">
      <c r="A746" t="s">
        <v>174</v>
      </c>
      <c r="B746" t="str">
        <f t="shared" si="11"/>
        <v>Jun</v>
      </c>
      <c r="C746" t="s">
        <v>68</v>
      </c>
      <c r="D746" t="s">
        <v>69</v>
      </c>
      <c r="E746">
        <v>586127184314.81995</v>
      </c>
      <c r="F746">
        <v>69466.3</v>
      </c>
      <c r="G746">
        <v>3660775167.9400001</v>
      </c>
      <c r="H746">
        <v>16826438</v>
      </c>
      <c r="I746">
        <v>21261300</v>
      </c>
      <c r="J746">
        <v>21712883</v>
      </c>
      <c r="K746">
        <v>22.8</v>
      </c>
      <c r="L746">
        <v>1.23</v>
      </c>
      <c r="M746">
        <v>-10.7</v>
      </c>
      <c r="N746">
        <v>0.44</v>
      </c>
      <c r="O746">
        <v>96</v>
      </c>
      <c r="P746" t="s">
        <v>53</v>
      </c>
      <c r="Q746" t="s">
        <v>34</v>
      </c>
      <c r="R746" t="s">
        <v>35</v>
      </c>
      <c r="S746">
        <v>2022</v>
      </c>
      <c r="T746" t="s">
        <v>36</v>
      </c>
      <c r="U746">
        <v>44912</v>
      </c>
      <c r="V746">
        <v>22.36</v>
      </c>
      <c r="W746">
        <v>22.27</v>
      </c>
      <c r="X746">
        <v>88.72</v>
      </c>
      <c r="Y746">
        <v>92.78</v>
      </c>
    </row>
    <row r="747" spans="1:25" x14ac:dyDescent="0.3">
      <c r="A747" t="s">
        <v>258</v>
      </c>
      <c r="B747" t="str">
        <f t="shared" si="11"/>
        <v>Mar</v>
      </c>
      <c r="C747" t="s">
        <v>49</v>
      </c>
      <c r="D747" t="s">
        <v>50</v>
      </c>
      <c r="E747">
        <v>743341324969.76001</v>
      </c>
      <c r="F747">
        <v>20472.419999999998</v>
      </c>
      <c r="G747">
        <v>33639138742.470001</v>
      </c>
      <c r="H747">
        <v>14205811</v>
      </c>
      <c r="I747">
        <v>18837896</v>
      </c>
      <c r="J747">
        <v>19226915</v>
      </c>
      <c r="K747">
        <v>35.28</v>
      </c>
      <c r="L747">
        <v>0.6</v>
      </c>
      <c r="M747">
        <v>9.06</v>
      </c>
      <c r="N747">
        <v>37.78</v>
      </c>
      <c r="O747">
        <v>17</v>
      </c>
      <c r="P747" t="s">
        <v>40</v>
      </c>
      <c r="Q747" t="s">
        <v>41</v>
      </c>
      <c r="R747" t="s">
        <v>29</v>
      </c>
      <c r="S747">
        <v>2011</v>
      </c>
      <c r="T747" t="s">
        <v>36</v>
      </c>
      <c r="U747">
        <v>44935</v>
      </c>
      <c r="V747">
        <v>66.89</v>
      </c>
      <c r="W747">
        <v>82.78</v>
      </c>
      <c r="X747">
        <v>28.29</v>
      </c>
      <c r="Y747">
        <v>60.34</v>
      </c>
    </row>
    <row r="748" spans="1:25" x14ac:dyDescent="0.3">
      <c r="A748" t="s">
        <v>100</v>
      </c>
      <c r="B748" t="str">
        <f t="shared" si="11"/>
        <v>Jul</v>
      </c>
      <c r="C748" t="s">
        <v>60</v>
      </c>
      <c r="D748" t="s">
        <v>61</v>
      </c>
      <c r="E748">
        <v>284318296120.84003</v>
      </c>
      <c r="F748">
        <v>8104.67</v>
      </c>
      <c r="G748">
        <v>42868134899.120003</v>
      </c>
      <c r="H748">
        <v>17307744</v>
      </c>
      <c r="I748">
        <v>18727371</v>
      </c>
      <c r="J748">
        <v>19260993</v>
      </c>
      <c r="K748">
        <v>24.37</v>
      </c>
      <c r="L748">
        <v>2.04</v>
      </c>
      <c r="M748">
        <v>13.31</v>
      </c>
      <c r="N748">
        <v>-32.35</v>
      </c>
      <c r="O748">
        <v>39</v>
      </c>
      <c r="P748" t="s">
        <v>27</v>
      </c>
      <c r="Q748" t="s">
        <v>47</v>
      </c>
      <c r="R748" t="s">
        <v>35</v>
      </c>
      <c r="S748">
        <v>2017</v>
      </c>
      <c r="T748" t="s">
        <v>30</v>
      </c>
      <c r="U748">
        <v>9456</v>
      </c>
      <c r="V748">
        <v>47.83</v>
      </c>
      <c r="W748">
        <v>45.43</v>
      </c>
      <c r="X748">
        <v>80.89</v>
      </c>
      <c r="Y748">
        <v>32.11</v>
      </c>
    </row>
    <row r="749" spans="1:25" x14ac:dyDescent="0.3">
      <c r="A749" t="s">
        <v>130</v>
      </c>
      <c r="B749" t="str">
        <f t="shared" si="11"/>
        <v>May</v>
      </c>
      <c r="C749" t="s">
        <v>78</v>
      </c>
      <c r="D749" t="s">
        <v>79</v>
      </c>
      <c r="E749">
        <v>284611408831.13</v>
      </c>
      <c r="F749">
        <v>6324.36</v>
      </c>
      <c r="G749">
        <v>33102756090.23</v>
      </c>
      <c r="H749">
        <v>12006873</v>
      </c>
      <c r="I749">
        <v>13669828</v>
      </c>
      <c r="J749">
        <v>14337072</v>
      </c>
      <c r="K749">
        <v>49.55</v>
      </c>
      <c r="L749">
        <v>1.38</v>
      </c>
      <c r="M749">
        <v>-1.46</v>
      </c>
      <c r="N749">
        <v>25.74</v>
      </c>
      <c r="O749">
        <v>76</v>
      </c>
      <c r="P749" t="s">
        <v>27</v>
      </c>
      <c r="Q749" t="s">
        <v>34</v>
      </c>
      <c r="R749" t="s">
        <v>42</v>
      </c>
      <c r="S749">
        <v>2023</v>
      </c>
      <c r="T749" t="s">
        <v>36</v>
      </c>
      <c r="U749">
        <v>50424</v>
      </c>
      <c r="V749">
        <v>31.3</v>
      </c>
      <c r="W749">
        <v>84.98</v>
      </c>
      <c r="X749">
        <v>63.02</v>
      </c>
      <c r="Y749">
        <v>25.48</v>
      </c>
    </row>
    <row r="750" spans="1:25" x14ac:dyDescent="0.3">
      <c r="A750" t="s">
        <v>195</v>
      </c>
      <c r="B750" t="str">
        <f t="shared" si="11"/>
        <v>Nov</v>
      </c>
      <c r="C750" t="s">
        <v>60</v>
      </c>
      <c r="D750" t="s">
        <v>61</v>
      </c>
      <c r="E750">
        <v>581682292870.43005</v>
      </c>
      <c r="F750">
        <v>56603.89</v>
      </c>
      <c r="G750">
        <v>2022559723.24</v>
      </c>
      <c r="H750">
        <v>3780466</v>
      </c>
      <c r="I750">
        <v>5144838</v>
      </c>
      <c r="J750">
        <v>5677050</v>
      </c>
      <c r="K750">
        <v>58.97</v>
      </c>
      <c r="L750">
        <v>-4.7699999999999996</v>
      </c>
      <c r="M750">
        <v>-18.37</v>
      </c>
      <c r="N750">
        <v>-25.82</v>
      </c>
      <c r="O750">
        <v>16</v>
      </c>
      <c r="P750" t="s">
        <v>46</v>
      </c>
      <c r="Q750" t="s">
        <v>28</v>
      </c>
      <c r="R750" t="s">
        <v>42</v>
      </c>
      <c r="S750">
        <v>2023</v>
      </c>
      <c r="T750" t="s">
        <v>30</v>
      </c>
      <c r="U750">
        <v>50474</v>
      </c>
      <c r="V750">
        <v>82.62</v>
      </c>
      <c r="W750">
        <v>35.25</v>
      </c>
      <c r="X750">
        <v>35.39</v>
      </c>
      <c r="Y750">
        <v>64</v>
      </c>
    </row>
    <row r="751" spans="1:25" x14ac:dyDescent="0.3">
      <c r="A751" t="s">
        <v>144</v>
      </c>
      <c r="B751" t="str">
        <f t="shared" si="11"/>
        <v>Dec</v>
      </c>
      <c r="C751" t="s">
        <v>68</v>
      </c>
      <c r="D751" t="s">
        <v>69</v>
      </c>
      <c r="E751">
        <v>671106814285.58997</v>
      </c>
      <c r="F751">
        <v>24423.61</v>
      </c>
      <c r="G751">
        <v>21718645080.27</v>
      </c>
      <c r="H751">
        <v>5190379</v>
      </c>
      <c r="I751">
        <v>9113578</v>
      </c>
      <c r="J751">
        <v>9924740</v>
      </c>
      <c r="K751">
        <v>1.57</v>
      </c>
      <c r="L751">
        <v>-2.83</v>
      </c>
      <c r="M751">
        <v>-9</v>
      </c>
      <c r="N751">
        <v>8.14</v>
      </c>
      <c r="O751">
        <v>4</v>
      </c>
      <c r="P751" t="s">
        <v>46</v>
      </c>
      <c r="Q751" t="s">
        <v>57</v>
      </c>
      <c r="R751" t="s">
        <v>29</v>
      </c>
      <c r="S751">
        <v>2014</v>
      </c>
      <c r="T751" t="s">
        <v>36</v>
      </c>
      <c r="U751">
        <v>37817</v>
      </c>
      <c r="V751">
        <v>92.09</v>
      </c>
      <c r="W751">
        <v>53.86</v>
      </c>
      <c r="X751">
        <v>19.29</v>
      </c>
      <c r="Y751">
        <v>37.44</v>
      </c>
    </row>
    <row r="752" spans="1:25" x14ac:dyDescent="0.3">
      <c r="A752" t="s">
        <v>188</v>
      </c>
      <c r="B752" t="str">
        <f t="shared" si="11"/>
        <v>Dec</v>
      </c>
      <c r="C752" t="s">
        <v>55</v>
      </c>
      <c r="D752" t="s">
        <v>56</v>
      </c>
      <c r="E752">
        <v>772966799941.20996</v>
      </c>
      <c r="F752">
        <v>19893.47</v>
      </c>
      <c r="G752">
        <v>45749347696.139999</v>
      </c>
      <c r="H752">
        <v>5000874</v>
      </c>
      <c r="I752">
        <v>5680028</v>
      </c>
      <c r="J752">
        <v>5991233</v>
      </c>
      <c r="K752">
        <v>11.17</v>
      </c>
      <c r="L752">
        <v>2.5499999999999998</v>
      </c>
      <c r="M752">
        <v>-18.399999999999999</v>
      </c>
      <c r="N752">
        <v>-38.58</v>
      </c>
      <c r="O752">
        <v>56</v>
      </c>
      <c r="P752" t="s">
        <v>51</v>
      </c>
      <c r="Q752" t="s">
        <v>47</v>
      </c>
      <c r="R752" t="s">
        <v>42</v>
      </c>
      <c r="S752">
        <v>2015</v>
      </c>
      <c r="T752" t="s">
        <v>58</v>
      </c>
      <c r="U752">
        <v>50340</v>
      </c>
      <c r="V752">
        <v>93.51</v>
      </c>
      <c r="W752">
        <v>86.84</v>
      </c>
      <c r="X752">
        <v>96.49</v>
      </c>
      <c r="Y752">
        <v>74.349999999999994</v>
      </c>
    </row>
    <row r="753" spans="1:25" x14ac:dyDescent="0.3">
      <c r="A753" t="s">
        <v>232</v>
      </c>
      <c r="B753" t="str">
        <f t="shared" si="11"/>
        <v>Oct</v>
      </c>
      <c r="C753" t="s">
        <v>44</v>
      </c>
      <c r="D753" t="s">
        <v>45</v>
      </c>
      <c r="E753">
        <v>651551808168.64001</v>
      </c>
      <c r="F753">
        <v>40732.26</v>
      </c>
      <c r="G753">
        <v>25597543537.720001</v>
      </c>
      <c r="H753">
        <v>16300190</v>
      </c>
      <c r="I753">
        <v>17565307</v>
      </c>
      <c r="J753">
        <v>18369046</v>
      </c>
      <c r="K753">
        <v>41.47</v>
      </c>
      <c r="L753">
        <v>-1.26</v>
      </c>
      <c r="M753">
        <v>18.37</v>
      </c>
      <c r="N753">
        <v>26.94</v>
      </c>
      <c r="O753">
        <v>147</v>
      </c>
      <c r="P753" t="s">
        <v>46</v>
      </c>
      <c r="Q753" t="s">
        <v>47</v>
      </c>
      <c r="R753" t="s">
        <v>35</v>
      </c>
      <c r="S753">
        <v>2020</v>
      </c>
      <c r="T753" t="s">
        <v>36</v>
      </c>
      <c r="U753">
        <v>52887</v>
      </c>
      <c r="V753">
        <v>89.12</v>
      </c>
      <c r="W753">
        <v>29.3</v>
      </c>
      <c r="X753">
        <v>47.41</v>
      </c>
      <c r="Y753">
        <v>85.95</v>
      </c>
    </row>
    <row r="754" spans="1:25" x14ac:dyDescent="0.3">
      <c r="A754" t="s">
        <v>155</v>
      </c>
      <c r="B754" t="str">
        <f t="shared" si="11"/>
        <v>Dec</v>
      </c>
      <c r="C754" t="s">
        <v>60</v>
      </c>
      <c r="D754" t="s">
        <v>61</v>
      </c>
      <c r="E754">
        <v>739603097863.91003</v>
      </c>
      <c r="F754">
        <v>58006.64</v>
      </c>
      <c r="G754">
        <v>42597868679.610001</v>
      </c>
      <c r="H754">
        <v>7382983</v>
      </c>
      <c r="I754">
        <v>10424604</v>
      </c>
      <c r="J754">
        <v>11303229</v>
      </c>
      <c r="K754">
        <v>2.34</v>
      </c>
      <c r="L754">
        <v>-3.65</v>
      </c>
      <c r="M754">
        <v>-19.46</v>
      </c>
      <c r="N754">
        <v>-9.83</v>
      </c>
      <c r="O754">
        <v>131</v>
      </c>
      <c r="P754" t="s">
        <v>51</v>
      </c>
      <c r="Q754" t="s">
        <v>57</v>
      </c>
      <c r="R754" t="s">
        <v>42</v>
      </c>
      <c r="S754">
        <v>2016</v>
      </c>
      <c r="T754" t="s">
        <v>30</v>
      </c>
      <c r="U754">
        <v>16314</v>
      </c>
      <c r="V754">
        <v>95.26</v>
      </c>
      <c r="W754">
        <v>34.74</v>
      </c>
      <c r="X754">
        <v>88.5</v>
      </c>
      <c r="Y754">
        <v>85.24</v>
      </c>
    </row>
    <row r="755" spans="1:25" x14ac:dyDescent="0.3">
      <c r="A755" t="s">
        <v>170</v>
      </c>
      <c r="B755" t="str">
        <f t="shared" si="11"/>
        <v>Sep</v>
      </c>
      <c r="C755" t="s">
        <v>44</v>
      </c>
      <c r="D755" t="s">
        <v>45</v>
      </c>
      <c r="E755">
        <v>672184945844.40002</v>
      </c>
      <c r="F755">
        <v>52973.26</v>
      </c>
      <c r="G755">
        <v>13387658540.68</v>
      </c>
      <c r="H755">
        <v>10313384</v>
      </c>
      <c r="I755">
        <v>12493121</v>
      </c>
      <c r="J755">
        <v>13189512</v>
      </c>
      <c r="K755">
        <v>28.59</v>
      </c>
      <c r="L755">
        <v>-4.88</v>
      </c>
      <c r="M755">
        <v>10.29</v>
      </c>
      <c r="N755">
        <v>-14.48</v>
      </c>
      <c r="O755">
        <v>118</v>
      </c>
      <c r="P755" t="s">
        <v>27</v>
      </c>
      <c r="Q755" t="s">
        <v>28</v>
      </c>
      <c r="R755" t="s">
        <v>29</v>
      </c>
      <c r="S755">
        <v>2021</v>
      </c>
      <c r="T755" t="s">
        <v>36</v>
      </c>
      <c r="U755">
        <v>32446</v>
      </c>
      <c r="V755">
        <v>38.43</v>
      </c>
      <c r="W755">
        <v>46.33</v>
      </c>
      <c r="X755">
        <v>11.44</v>
      </c>
      <c r="Y755">
        <v>12.91</v>
      </c>
    </row>
    <row r="756" spans="1:25" x14ac:dyDescent="0.3">
      <c r="A756" t="s">
        <v>392</v>
      </c>
      <c r="B756" t="str">
        <f t="shared" si="11"/>
        <v>Dec</v>
      </c>
      <c r="C756" t="s">
        <v>90</v>
      </c>
      <c r="D756" t="s">
        <v>91</v>
      </c>
      <c r="E756">
        <v>353701504712.90002</v>
      </c>
      <c r="F756">
        <v>33294.300000000003</v>
      </c>
      <c r="G756">
        <v>24358477482.200001</v>
      </c>
      <c r="H756">
        <v>10710710</v>
      </c>
      <c r="I756">
        <v>14588507</v>
      </c>
      <c r="J756">
        <v>15315229</v>
      </c>
      <c r="K756">
        <v>49.25</v>
      </c>
      <c r="L756">
        <v>4.2699999999999996</v>
      </c>
      <c r="M756">
        <v>-7.7</v>
      </c>
      <c r="N756">
        <v>-13.65</v>
      </c>
      <c r="O756">
        <v>177</v>
      </c>
      <c r="P756" t="s">
        <v>40</v>
      </c>
      <c r="Q756" t="s">
        <v>41</v>
      </c>
      <c r="R756" t="s">
        <v>42</v>
      </c>
      <c r="S756">
        <v>2023</v>
      </c>
      <c r="T756" t="s">
        <v>30</v>
      </c>
      <c r="U756">
        <v>52958</v>
      </c>
      <c r="V756">
        <v>27.23</v>
      </c>
      <c r="W756">
        <v>37.01</v>
      </c>
      <c r="X756">
        <v>32.229999999999997</v>
      </c>
      <c r="Y756">
        <v>48.38</v>
      </c>
    </row>
    <row r="757" spans="1:25" x14ac:dyDescent="0.3">
      <c r="A757" t="s">
        <v>112</v>
      </c>
      <c r="B757" t="str">
        <f t="shared" si="11"/>
        <v>Feb</v>
      </c>
      <c r="C757" t="s">
        <v>49</v>
      </c>
      <c r="D757" t="s">
        <v>50</v>
      </c>
      <c r="E757">
        <v>134707023860.33</v>
      </c>
      <c r="F757">
        <v>18009.93</v>
      </c>
      <c r="G757">
        <v>10877174781.98</v>
      </c>
      <c r="H757">
        <v>1349971</v>
      </c>
      <c r="I757">
        <v>3378438</v>
      </c>
      <c r="J757">
        <v>4115897</v>
      </c>
      <c r="K757">
        <v>35.020000000000003</v>
      </c>
      <c r="L757">
        <v>-2.75</v>
      </c>
      <c r="M757">
        <v>-16.29</v>
      </c>
      <c r="N757">
        <v>30.69</v>
      </c>
      <c r="O757">
        <v>184</v>
      </c>
      <c r="P757" t="s">
        <v>51</v>
      </c>
      <c r="Q757" t="s">
        <v>41</v>
      </c>
      <c r="R757" t="s">
        <v>35</v>
      </c>
      <c r="S757">
        <v>2022</v>
      </c>
      <c r="T757" t="s">
        <v>36</v>
      </c>
      <c r="U757">
        <v>37427</v>
      </c>
      <c r="V757">
        <v>41.99</v>
      </c>
      <c r="W757">
        <v>59.22</v>
      </c>
      <c r="X757">
        <v>97.82</v>
      </c>
      <c r="Y757">
        <v>83.68</v>
      </c>
    </row>
    <row r="758" spans="1:25" x14ac:dyDescent="0.3">
      <c r="A758" t="s">
        <v>165</v>
      </c>
      <c r="B758" t="str">
        <f t="shared" si="11"/>
        <v>Jul</v>
      </c>
      <c r="C758" t="s">
        <v>90</v>
      </c>
      <c r="D758" t="s">
        <v>91</v>
      </c>
      <c r="E758">
        <v>569798903710.29004</v>
      </c>
      <c r="F758">
        <v>900.79</v>
      </c>
      <c r="G758">
        <v>6112175978.1300001</v>
      </c>
      <c r="H758">
        <v>7507841</v>
      </c>
      <c r="I758">
        <v>8589177</v>
      </c>
      <c r="J758">
        <v>8952462</v>
      </c>
      <c r="K758">
        <v>22.02</v>
      </c>
      <c r="L758">
        <v>-3.59</v>
      </c>
      <c r="M758">
        <v>1.78</v>
      </c>
      <c r="N758">
        <v>33.770000000000003</v>
      </c>
      <c r="O758">
        <v>192</v>
      </c>
      <c r="P758" t="s">
        <v>40</v>
      </c>
      <c r="Q758" t="s">
        <v>47</v>
      </c>
      <c r="R758" t="s">
        <v>74</v>
      </c>
      <c r="S758">
        <v>2023</v>
      </c>
      <c r="T758" t="s">
        <v>30</v>
      </c>
      <c r="U758">
        <v>63154</v>
      </c>
      <c r="V758">
        <v>44.03</v>
      </c>
      <c r="W758">
        <v>47.9</v>
      </c>
      <c r="X758">
        <v>59.9</v>
      </c>
      <c r="Y758">
        <v>97.91</v>
      </c>
    </row>
    <row r="759" spans="1:25" x14ac:dyDescent="0.3">
      <c r="A759" t="s">
        <v>121</v>
      </c>
      <c r="B759" t="str">
        <f t="shared" si="11"/>
        <v>Mar</v>
      </c>
      <c r="C759" t="s">
        <v>68</v>
      </c>
      <c r="D759" t="s">
        <v>69</v>
      </c>
      <c r="E759">
        <v>278845792697.14001</v>
      </c>
      <c r="F759">
        <v>21449.24</v>
      </c>
      <c r="G759">
        <v>9692188145.1100006</v>
      </c>
      <c r="H759">
        <v>1137508</v>
      </c>
      <c r="I759">
        <v>4257586</v>
      </c>
      <c r="J759">
        <v>5108190</v>
      </c>
      <c r="K759">
        <v>17.579999999999998</v>
      </c>
      <c r="L759">
        <v>-0.52</v>
      </c>
      <c r="M759">
        <v>4.71</v>
      </c>
      <c r="N759">
        <v>-28.68</v>
      </c>
      <c r="O759">
        <v>81</v>
      </c>
      <c r="P759" t="s">
        <v>40</v>
      </c>
      <c r="Q759" t="s">
        <v>57</v>
      </c>
      <c r="R759" t="s">
        <v>74</v>
      </c>
      <c r="S759">
        <v>2014</v>
      </c>
      <c r="T759" t="s">
        <v>36</v>
      </c>
      <c r="U759">
        <v>59976</v>
      </c>
      <c r="V759">
        <v>25.66</v>
      </c>
      <c r="W759">
        <v>31.53</v>
      </c>
      <c r="X759">
        <v>54.72</v>
      </c>
      <c r="Y759">
        <v>66.27</v>
      </c>
    </row>
    <row r="760" spans="1:25" x14ac:dyDescent="0.3">
      <c r="A760" t="s">
        <v>93</v>
      </c>
      <c r="B760" t="str">
        <f t="shared" si="11"/>
        <v>Jan</v>
      </c>
      <c r="C760" t="s">
        <v>32</v>
      </c>
      <c r="D760" t="s">
        <v>33</v>
      </c>
      <c r="E760">
        <v>160675690502.14001</v>
      </c>
      <c r="F760">
        <v>58022.53</v>
      </c>
      <c r="G760">
        <v>12252388665.030001</v>
      </c>
      <c r="H760">
        <v>6594373</v>
      </c>
      <c r="I760">
        <v>10449604</v>
      </c>
      <c r="J760">
        <v>11152336</v>
      </c>
      <c r="K760">
        <v>58.49</v>
      </c>
      <c r="L760">
        <v>4.07</v>
      </c>
      <c r="M760">
        <v>0.41</v>
      </c>
      <c r="N760">
        <v>17.47</v>
      </c>
      <c r="O760">
        <v>142</v>
      </c>
      <c r="P760" t="s">
        <v>40</v>
      </c>
      <c r="Q760" t="s">
        <v>34</v>
      </c>
      <c r="R760" t="s">
        <v>64</v>
      </c>
      <c r="S760">
        <v>2016</v>
      </c>
      <c r="T760" t="s">
        <v>36</v>
      </c>
      <c r="U760">
        <v>54542</v>
      </c>
      <c r="V760">
        <v>83.43</v>
      </c>
      <c r="W760">
        <v>32.36</v>
      </c>
      <c r="X760">
        <v>55.31</v>
      </c>
      <c r="Y760">
        <v>58.54</v>
      </c>
    </row>
    <row r="761" spans="1:25" x14ac:dyDescent="0.3">
      <c r="A761" t="s">
        <v>366</v>
      </c>
      <c r="B761" t="str">
        <f t="shared" si="11"/>
        <v>Jul</v>
      </c>
      <c r="C761" t="s">
        <v>38</v>
      </c>
      <c r="D761" t="s">
        <v>39</v>
      </c>
      <c r="E761">
        <v>317102308382.85999</v>
      </c>
      <c r="F761">
        <v>31837.78</v>
      </c>
      <c r="G761">
        <v>3152489191.2199998</v>
      </c>
      <c r="H761">
        <v>3111469</v>
      </c>
      <c r="I761">
        <v>4994879</v>
      </c>
      <c r="J761">
        <v>5210833</v>
      </c>
      <c r="K761">
        <v>16.649999999999999</v>
      </c>
      <c r="L761">
        <v>-2.84</v>
      </c>
      <c r="M761">
        <v>-2.56</v>
      </c>
      <c r="N761">
        <v>-32.22</v>
      </c>
      <c r="O761">
        <v>177</v>
      </c>
      <c r="P761" t="s">
        <v>27</v>
      </c>
      <c r="Q761" t="s">
        <v>47</v>
      </c>
      <c r="R761" t="s">
        <v>35</v>
      </c>
      <c r="S761">
        <v>2021</v>
      </c>
      <c r="T761" t="s">
        <v>36</v>
      </c>
      <c r="U761">
        <v>35710</v>
      </c>
      <c r="V761">
        <v>56.26</v>
      </c>
      <c r="W761">
        <v>96.42</v>
      </c>
      <c r="X761">
        <v>88.69</v>
      </c>
      <c r="Y761">
        <v>13.31</v>
      </c>
    </row>
    <row r="762" spans="1:25" x14ac:dyDescent="0.3">
      <c r="A762" t="s">
        <v>395</v>
      </c>
      <c r="B762" t="str">
        <f t="shared" si="11"/>
        <v>Apr</v>
      </c>
      <c r="C762" t="s">
        <v>32</v>
      </c>
      <c r="D762" t="s">
        <v>33</v>
      </c>
      <c r="E762">
        <v>740079572916.19995</v>
      </c>
      <c r="F762">
        <v>43172.97</v>
      </c>
      <c r="G762">
        <v>43298631296.370003</v>
      </c>
      <c r="H762">
        <v>17639140</v>
      </c>
      <c r="I762">
        <v>19175347</v>
      </c>
      <c r="J762">
        <v>19901281</v>
      </c>
      <c r="K762">
        <v>2.83</v>
      </c>
      <c r="L762">
        <v>-0.6</v>
      </c>
      <c r="M762">
        <v>2.82</v>
      </c>
      <c r="N762">
        <v>28.07</v>
      </c>
      <c r="O762">
        <v>143</v>
      </c>
      <c r="P762" t="s">
        <v>27</v>
      </c>
      <c r="Q762" t="s">
        <v>41</v>
      </c>
      <c r="R762" t="s">
        <v>29</v>
      </c>
      <c r="S762">
        <v>2013</v>
      </c>
      <c r="T762" t="s">
        <v>36</v>
      </c>
      <c r="U762">
        <v>23932</v>
      </c>
      <c r="V762">
        <v>90.31</v>
      </c>
      <c r="W762">
        <v>40.53</v>
      </c>
      <c r="X762">
        <v>91.74</v>
      </c>
      <c r="Y762">
        <v>78.739999999999995</v>
      </c>
    </row>
    <row r="763" spans="1:25" x14ac:dyDescent="0.3">
      <c r="A763" t="s">
        <v>349</v>
      </c>
      <c r="B763" t="str">
        <f t="shared" si="11"/>
        <v>May</v>
      </c>
      <c r="C763" t="s">
        <v>68</v>
      </c>
      <c r="D763" t="s">
        <v>69</v>
      </c>
      <c r="E763">
        <v>19254729770.490002</v>
      </c>
      <c r="F763">
        <v>64174.63</v>
      </c>
      <c r="G763">
        <v>18137264310.290001</v>
      </c>
      <c r="H763">
        <v>7202620</v>
      </c>
      <c r="I763">
        <v>9883814</v>
      </c>
      <c r="J763">
        <v>10881881</v>
      </c>
      <c r="K763">
        <v>2.15</v>
      </c>
      <c r="L763">
        <v>-1.1200000000000001</v>
      </c>
      <c r="M763">
        <v>3.32</v>
      </c>
      <c r="N763">
        <v>-23.86</v>
      </c>
      <c r="O763">
        <v>18</v>
      </c>
      <c r="P763" t="s">
        <v>53</v>
      </c>
      <c r="Q763" t="s">
        <v>47</v>
      </c>
      <c r="R763" t="s">
        <v>29</v>
      </c>
      <c r="S763">
        <v>2018</v>
      </c>
      <c r="T763" t="s">
        <v>36</v>
      </c>
      <c r="U763">
        <v>17378</v>
      </c>
      <c r="V763">
        <v>76.14</v>
      </c>
      <c r="W763">
        <v>78.66</v>
      </c>
      <c r="X763">
        <v>85.77</v>
      </c>
      <c r="Y763">
        <v>91.65</v>
      </c>
    </row>
    <row r="764" spans="1:25" x14ac:dyDescent="0.3">
      <c r="A764" t="s">
        <v>362</v>
      </c>
      <c r="B764" t="str">
        <f t="shared" si="11"/>
        <v>Sep</v>
      </c>
      <c r="C764" t="s">
        <v>78</v>
      </c>
      <c r="D764" t="s">
        <v>79</v>
      </c>
      <c r="E764">
        <v>267898027879.67001</v>
      </c>
      <c r="F764">
        <v>42643.66</v>
      </c>
      <c r="G764">
        <v>28937858400.189999</v>
      </c>
      <c r="H764">
        <v>9136361</v>
      </c>
      <c r="I764">
        <v>11992771</v>
      </c>
      <c r="J764">
        <v>12854163</v>
      </c>
      <c r="K764">
        <v>41.99</v>
      </c>
      <c r="L764">
        <v>-4.59</v>
      </c>
      <c r="M764">
        <v>14.92</v>
      </c>
      <c r="N764">
        <v>9.27</v>
      </c>
      <c r="O764">
        <v>157</v>
      </c>
      <c r="P764" t="s">
        <v>46</v>
      </c>
      <c r="Q764" t="s">
        <v>47</v>
      </c>
      <c r="R764" t="s">
        <v>42</v>
      </c>
      <c r="S764">
        <v>2021</v>
      </c>
      <c r="T764" t="s">
        <v>36</v>
      </c>
      <c r="U764">
        <v>47854</v>
      </c>
      <c r="V764">
        <v>67.2</v>
      </c>
      <c r="W764">
        <v>28.02</v>
      </c>
      <c r="X764">
        <v>31.15</v>
      </c>
      <c r="Y764">
        <v>64.02</v>
      </c>
    </row>
    <row r="765" spans="1:25" x14ac:dyDescent="0.3">
      <c r="A765" t="s">
        <v>341</v>
      </c>
      <c r="B765" t="str">
        <f t="shared" si="11"/>
        <v>Aug</v>
      </c>
      <c r="C765" t="s">
        <v>38</v>
      </c>
      <c r="D765" t="s">
        <v>39</v>
      </c>
      <c r="E765">
        <v>575783244566.92004</v>
      </c>
      <c r="F765">
        <v>65931.039999999994</v>
      </c>
      <c r="G765">
        <v>26678547349.82</v>
      </c>
      <c r="H765">
        <v>13339833</v>
      </c>
      <c r="I765">
        <v>13914164</v>
      </c>
      <c r="J765">
        <v>14248355</v>
      </c>
      <c r="K765">
        <v>5.17</v>
      </c>
      <c r="L765">
        <v>-3.73</v>
      </c>
      <c r="M765">
        <v>3.82</v>
      </c>
      <c r="N765">
        <v>25.78</v>
      </c>
      <c r="O765">
        <v>123</v>
      </c>
      <c r="P765" t="s">
        <v>53</v>
      </c>
      <c r="Q765" t="s">
        <v>57</v>
      </c>
      <c r="R765" t="s">
        <v>74</v>
      </c>
      <c r="S765">
        <v>2015</v>
      </c>
      <c r="T765" t="s">
        <v>36</v>
      </c>
      <c r="U765">
        <v>63393</v>
      </c>
      <c r="V765">
        <v>21.64</v>
      </c>
      <c r="W765">
        <v>23.35</v>
      </c>
      <c r="X765">
        <v>42.85</v>
      </c>
      <c r="Y765">
        <v>79.989999999999995</v>
      </c>
    </row>
    <row r="766" spans="1:25" x14ac:dyDescent="0.3">
      <c r="A766" t="s">
        <v>171</v>
      </c>
      <c r="B766" t="str">
        <f t="shared" si="11"/>
        <v>Nov</v>
      </c>
      <c r="C766" t="s">
        <v>49</v>
      </c>
      <c r="D766" t="s">
        <v>50</v>
      </c>
      <c r="E766">
        <v>201059442413.28</v>
      </c>
      <c r="F766">
        <v>16315.94</v>
      </c>
      <c r="G766">
        <v>10860645845.34</v>
      </c>
      <c r="H766">
        <v>17912126</v>
      </c>
      <c r="I766">
        <v>21357918</v>
      </c>
      <c r="J766">
        <v>21527856</v>
      </c>
      <c r="K766">
        <v>12.19</v>
      </c>
      <c r="L766">
        <v>2.98</v>
      </c>
      <c r="M766">
        <v>1.78</v>
      </c>
      <c r="N766">
        <v>-22.63</v>
      </c>
      <c r="O766">
        <v>121</v>
      </c>
      <c r="P766" t="s">
        <v>51</v>
      </c>
      <c r="Q766" t="s">
        <v>28</v>
      </c>
      <c r="R766" t="s">
        <v>74</v>
      </c>
      <c r="S766">
        <v>2019</v>
      </c>
      <c r="T766" t="s">
        <v>36</v>
      </c>
      <c r="U766">
        <v>17060</v>
      </c>
      <c r="V766">
        <v>81.77</v>
      </c>
      <c r="W766">
        <v>52.56</v>
      </c>
      <c r="X766">
        <v>55.31</v>
      </c>
      <c r="Y766">
        <v>96.81</v>
      </c>
    </row>
    <row r="767" spans="1:25" x14ac:dyDescent="0.3">
      <c r="A767" t="s">
        <v>73</v>
      </c>
      <c r="B767" t="str">
        <f t="shared" si="11"/>
        <v>May</v>
      </c>
      <c r="C767" t="s">
        <v>60</v>
      </c>
      <c r="D767" t="s">
        <v>61</v>
      </c>
      <c r="E767">
        <v>12092176286.17</v>
      </c>
      <c r="F767">
        <v>32003.56</v>
      </c>
      <c r="G767">
        <v>30653864392.060001</v>
      </c>
      <c r="H767">
        <v>14575306</v>
      </c>
      <c r="I767">
        <v>15287827</v>
      </c>
      <c r="J767">
        <v>16057246</v>
      </c>
      <c r="K767">
        <v>13.21</v>
      </c>
      <c r="L767">
        <v>-4.8600000000000003</v>
      </c>
      <c r="M767">
        <v>1.65</v>
      </c>
      <c r="N767">
        <v>-30.69</v>
      </c>
      <c r="O767">
        <v>50</v>
      </c>
      <c r="P767" t="s">
        <v>46</v>
      </c>
      <c r="Q767" t="s">
        <v>41</v>
      </c>
      <c r="R767" t="s">
        <v>64</v>
      </c>
      <c r="S767">
        <v>2016</v>
      </c>
      <c r="T767" t="s">
        <v>30</v>
      </c>
      <c r="U767">
        <v>10290</v>
      </c>
      <c r="V767">
        <v>32.44</v>
      </c>
      <c r="W767">
        <v>70.19</v>
      </c>
      <c r="X767">
        <v>51.08</v>
      </c>
      <c r="Y767">
        <v>31.48</v>
      </c>
    </row>
    <row r="768" spans="1:25" x14ac:dyDescent="0.3">
      <c r="A768" t="s">
        <v>238</v>
      </c>
      <c r="B768" t="str">
        <f t="shared" si="11"/>
        <v>Apr</v>
      </c>
      <c r="C768" t="s">
        <v>25</v>
      </c>
      <c r="D768" t="s">
        <v>26</v>
      </c>
      <c r="E768">
        <v>63191734681.639999</v>
      </c>
      <c r="F768">
        <v>60677.78</v>
      </c>
      <c r="G768">
        <v>29615120788.400002</v>
      </c>
      <c r="H768">
        <v>11232890</v>
      </c>
      <c r="I768">
        <v>16022481</v>
      </c>
      <c r="J768">
        <v>16363866</v>
      </c>
      <c r="K768">
        <v>48.33</v>
      </c>
      <c r="L768">
        <v>0.15</v>
      </c>
      <c r="M768">
        <v>-11.29</v>
      </c>
      <c r="N768">
        <v>-9.77</v>
      </c>
      <c r="O768">
        <v>149</v>
      </c>
      <c r="P768" t="s">
        <v>51</v>
      </c>
      <c r="Q768" t="s">
        <v>41</v>
      </c>
      <c r="R768" t="s">
        <v>29</v>
      </c>
      <c r="S768">
        <v>2021</v>
      </c>
      <c r="T768" t="s">
        <v>30</v>
      </c>
      <c r="U768">
        <v>15378</v>
      </c>
      <c r="V768">
        <v>86.9</v>
      </c>
      <c r="W768">
        <v>62.12</v>
      </c>
      <c r="X768">
        <v>78.86</v>
      </c>
      <c r="Y768">
        <v>72.62</v>
      </c>
    </row>
    <row r="769" spans="1:25" x14ac:dyDescent="0.3">
      <c r="A769" t="s">
        <v>147</v>
      </c>
      <c r="B769" t="str">
        <f t="shared" si="11"/>
        <v>Mar</v>
      </c>
      <c r="C769" t="s">
        <v>60</v>
      </c>
      <c r="D769" t="s">
        <v>61</v>
      </c>
      <c r="E769">
        <v>342914574024.52002</v>
      </c>
      <c r="F769">
        <v>59720.27</v>
      </c>
      <c r="G769">
        <v>14085088920.549999</v>
      </c>
      <c r="H769">
        <v>9601420</v>
      </c>
      <c r="I769">
        <v>12712788</v>
      </c>
      <c r="J769">
        <v>13246647</v>
      </c>
      <c r="K769">
        <v>14.5</v>
      </c>
      <c r="L769">
        <v>0.5</v>
      </c>
      <c r="M769">
        <v>9.2899999999999991</v>
      </c>
      <c r="N769">
        <v>-11.04</v>
      </c>
      <c r="O769">
        <v>168</v>
      </c>
      <c r="P769" t="s">
        <v>27</v>
      </c>
      <c r="Q769" t="s">
        <v>41</v>
      </c>
      <c r="R769" t="s">
        <v>74</v>
      </c>
      <c r="S769">
        <v>2020</v>
      </c>
      <c r="T769" t="s">
        <v>30</v>
      </c>
      <c r="U769">
        <v>1283</v>
      </c>
      <c r="V769">
        <v>47.59</v>
      </c>
      <c r="W769">
        <v>41.71</v>
      </c>
      <c r="X769">
        <v>58.37</v>
      </c>
      <c r="Y769">
        <v>47.19</v>
      </c>
    </row>
    <row r="770" spans="1:25" x14ac:dyDescent="0.3">
      <c r="A770" t="s">
        <v>303</v>
      </c>
      <c r="B770" t="str">
        <f t="shared" ref="B770:B833" si="12">TEXT(A770,"MMM")</f>
        <v>Feb</v>
      </c>
      <c r="C770" t="s">
        <v>60</v>
      </c>
      <c r="D770" t="s">
        <v>61</v>
      </c>
      <c r="E770">
        <v>409043440550.78998</v>
      </c>
      <c r="F770">
        <v>52980.28</v>
      </c>
      <c r="G770">
        <v>10026075923.73</v>
      </c>
      <c r="H770">
        <v>16965015</v>
      </c>
      <c r="I770">
        <v>21846503</v>
      </c>
      <c r="J770">
        <v>22299705</v>
      </c>
      <c r="K770">
        <v>39.36</v>
      </c>
      <c r="L770">
        <v>4.54</v>
      </c>
      <c r="M770">
        <v>-3.69</v>
      </c>
      <c r="N770">
        <v>22.94</v>
      </c>
      <c r="O770">
        <v>90</v>
      </c>
      <c r="P770" t="s">
        <v>46</v>
      </c>
      <c r="Q770" t="s">
        <v>34</v>
      </c>
      <c r="R770" t="s">
        <v>42</v>
      </c>
      <c r="S770">
        <v>2016</v>
      </c>
      <c r="T770" t="s">
        <v>30</v>
      </c>
      <c r="U770">
        <v>994</v>
      </c>
      <c r="V770">
        <v>58.16</v>
      </c>
      <c r="W770">
        <v>34.15</v>
      </c>
      <c r="X770">
        <v>43.31</v>
      </c>
      <c r="Y770">
        <v>98.57</v>
      </c>
    </row>
    <row r="771" spans="1:25" x14ac:dyDescent="0.3">
      <c r="A771" t="s">
        <v>37</v>
      </c>
      <c r="B771" t="str">
        <f t="shared" si="12"/>
        <v>Jan</v>
      </c>
      <c r="C771" t="s">
        <v>68</v>
      </c>
      <c r="D771" t="s">
        <v>69</v>
      </c>
      <c r="E771">
        <v>164789392863.73999</v>
      </c>
      <c r="F771">
        <v>13290.18</v>
      </c>
      <c r="G771">
        <v>18341959689.259998</v>
      </c>
      <c r="H771">
        <v>9646269</v>
      </c>
      <c r="I771">
        <v>9876845</v>
      </c>
      <c r="J771">
        <v>10292344</v>
      </c>
      <c r="K771">
        <v>51.05</v>
      </c>
      <c r="L771">
        <v>3.46</v>
      </c>
      <c r="M771">
        <v>13.1</v>
      </c>
      <c r="N771">
        <v>-3.96</v>
      </c>
      <c r="O771">
        <v>83</v>
      </c>
      <c r="P771" t="s">
        <v>40</v>
      </c>
      <c r="Q771" t="s">
        <v>28</v>
      </c>
      <c r="R771" t="s">
        <v>35</v>
      </c>
      <c r="S771">
        <v>2020</v>
      </c>
      <c r="T771" t="s">
        <v>36</v>
      </c>
      <c r="U771">
        <v>64078</v>
      </c>
      <c r="V771">
        <v>70.75</v>
      </c>
      <c r="W771">
        <v>21.5</v>
      </c>
      <c r="X771">
        <v>48</v>
      </c>
      <c r="Y771">
        <v>30.51</v>
      </c>
    </row>
    <row r="772" spans="1:25" x14ac:dyDescent="0.3">
      <c r="A772" t="s">
        <v>164</v>
      </c>
      <c r="B772" t="str">
        <f t="shared" si="12"/>
        <v>Sep</v>
      </c>
      <c r="C772" t="s">
        <v>25</v>
      </c>
      <c r="D772" t="s">
        <v>26</v>
      </c>
      <c r="E772">
        <v>548082387785.19</v>
      </c>
      <c r="F772">
        <v>36385.980000000003</v>
      </c>
      <c r="G772">
        <v>30142917690.77</v>
      </c>
      <c r="H772">
        <v>7333607</v>
      </c>
      <c r="I772">
        <v>12175578</v>
      </c>
      <c r="J772">
        <v>12298195</v>
      </c>
      <c r="K772">
        <v>1.53</v>
      </c>
      <c r="L772">
        <v>-0.38</v>
      </c>
      <c r="M772">
        <v>-10.99</v>
      </c>
      <c r="N772">
        <v>-9.59</v>
      </c>
      <c r="O772">
        <v>71</v>
      </c>
      <c r="P772" t="s">
        <v>40</v>
      </c>
      <c r="Q772" t="s">
        <v>28</v>
      </c>
      <c r="R772" t="s">
        <v>35</v>
      </c>
      <c r="S772">
        <v>2023</v>
      </c>
      <c r="T772" t="s">
        <v>30</v>
      </c>
      <c r="U772">
        <v>6457</v>
      </c>
      <c r="V772">
        <v>92.6</v>
      </c>
      <c r="W772">
        <v>28.19</v>
      </c>
      <c r="X772">
        <v>35.26</v>
      </c>
      <c r="Y772">
        <v>87.12</v>
      </c>
    </row>
    <row r="773" spans="1:25" x14ac:dyDescent="0.3">
      <c r="A773" t="s">
        <v>396</v>
      </c>
      <c r="B773" t="str">
        <f t="shared" si="12"/>
        <v>Dec</v>
      </c>
      <c r="C773" t="s">
        <v>90</v>
      </c>
      <c r="D773" t="s">
        <v>91</v>
      </c>
      <c r="E773">
        <v>848619944264.56995</v>
      </c>
      <c r="F773">
        <v>6322.8</v>
      </c>
      <c r="G773">
        <v>48661417589.279999</v>
      </c>
      <c r="H773">
        <v>9605365</v>
      </c>
      <c r="I773">
        <v>13222342</v>
      </c>
      <c r="J773">
        <v>13850459</v>
      </c>
      <c r="K773">
        <v>26.38</v>
      </c>
      <c r="L773">
        <v>3.97</v>
      </c>
      <c r="M773">
        <v>-18.43</v>
      </c>
      <c r="N773">
        <v>27.35</v>
      </c>
      <c r="O773">
        <v>191</v>
      </c>
      <c r="P773" t="s">
        <v>46</v>
      </c>
      <c r="Q773" t="s">
        <v>28</v>
      </c>
      <c r="R773" t="s">
        <v>35</v>
      </c>
      <c r="S773">
        <v>2013</v>
      </c>
      <c r="T773" t="s">
        <v>30</v>
      </c>
      <c r="U773">
        <v>44097</v>
      </c>
      <c r="V773">
        <v>98.98</v>
      </c>
      <c r="W773">
        <v>56.83</v>
      </c>
      <c r="X773">
        <v>62.59</v>
      </c>
      <c r="Y773">
        <v>73.91</v>
      </c>
    </row>
    <row r="774" spans="1:25" x14ac:dyDescent="0.3">
      <c r="A774" t="s">
        <v>309</v>
      </c>
      <c r="B774" t="str">
        <f t="shared" si="12"/>
        <v>Feb</v>
      </c>
      <c r="C774" t="s">
        <v>60</v>
      </c>
      <c r="D774" t="s">
        <v>61</v>
      </c>
      <c r="E774">
        <v>653923990964.93994</v>
      </c>
      <c r="F774">
        <v>32359.919999999998</v>
      </c>
      <c r="G774">
        <v>44386432597.480003</v>
      </c>
      <c r="H774">
        <v>18949674</v>
      </c>
      <c r="I774">
        <v>22290227</v>
      </c>
      <c r="J774">
        <v>22505098</v>
      </c>
      <c r="K774">
        <v>45.18</v>
      </c>
      <c r="L774">
        <v>-1.07</v>
      </c>
      <c r="M774">
        <v>-6.56</v>
      </c>
      <c r="N774">
        <v>4.7699999999999996</v>
      </c>
      <c r="O774">
        <v>100</v>
      </c>
      <c r="P774" t="s">
        <v>40</v>
      </c>
      <c r="Q774" t="s">
        <v>28</v>
      </c>
      <c r="R774" t="s">
        <v>64</v>
      </c>
      <c r="S774">
        <v>2023</v>
      </c>
      <c r="T774" t="s">
        <v>30</v>
      </c>
      <c r="U774">
        <v>28108</v>
      </c>
      <c r="V774">
        <v>15.3</v>
      </c>
      <c r="W774">
        <v>97.11</v>
      </c>
      <c r="X774">
        <v>82.06</v>
      </c>
      <c r="Y774">
        <v>81.91</v>
      </c>
    </row>
    <row r="775" spans="1:25" x14ac:dyDescent="0.3">
      <c r="A775" t="s">
        <v>315</v>
      </c>
      <c r="B775" t="str">
        <f t="shared" si="12"/>
        <v>Sep</v>
      </c>
      <c r="C775" t="s">
        <v>78</v>
      </c>
      <c r="D775" t="s">
        <v>79</v>
      </c>
      <c r="E775">
        <v>148145703050.07001</v>
      </c>
      <c r="F775">
        <v>51921.82</v>
      </c>
      <c r="G775">
        <v>2904999646.3400002</v>
      </c>
      <c r="H775">
        <v>10130564</v>
      </c>
      <c r="I775">
        <v>14874876</v>
      </c>
      <c r="J775">
        <v>15627865</v>
      </c>
      <c r="K775">
        <v>7.09</v>
      </c>
      <c r="L775">
        <v>-3.32</v>
      </c>
      <c r="M775">
        <v>15.63</v>
      </c>
      <c r="N775">
        <v>-4.08</v>
      </c>
      <c r="O775">
        <v>107</v>
      </c>
      <c r="P775" t="s">
        <v>53</v>
      </c>
      <c r="Q775" t="s">
        <v>57</v>
      </c>
      <c r="R775" t="s">
        <v>42</v>
      </c>
      <c r="S775">
        <v>2017</v>
      </c>
      <c r="T775" t="s">
        <v>36</v>
      </c>
      <c r="U775">
        <v>38610</v>
      </c>
      <c r="V775">
        <v>91.43</v>
      </c>
      <c r="W775">
        <v>33.49</v>
      </c>
      <c r="X775">
        <v>96.36</v>
      </c>
      <c r="Y775">
        <v>35.619999999999997</v>
      </c>
    </row>
    <row r="776" spans="1:25" x14ac:dyDescent="0.3">
      <c r="A776" t="s">
        <v>195</v>
      </c>
      <c r="B776" t="str">
        <f t="shared" si="12"/>
        <v>Nov</v>
      </c>
      <c r="C776" t="s">
        <v>55</v>
      </c>
      <c r="D776" t="s">
        <v>56</v>
      </c>
      <c r="E776">
        <v>810820599942.78003</v>
      </c>
      <c r="F776">
        <v>58031.9</v>
      </c>
      <c r="G776">
        <v>47426470652.900002</v>
      </c>
      <c r="H776">
        <v>1431359</v>
      </c>
      <c r="I776">
        <v>4567044</v>
      </c>
      <c r="J776">
        <v>4795106</v>
      </c>
      <c r="K776">
        <v>37.43</v>
      </c>
      <c r="L776">
        <v>-2.15</v>
      </c>
      <c r="M776">
        <v>1.31</v>
      </c>
      <c r="N776">
        <v>6.3</v>
      </c>
      <c r="O776">
        <v>182</v>
      </c>
      <c r="P776" t="s">
        <v>51</v>
      </c>
      <c r="Q776" t="s">
        <v>34</v>
      </c>
      <c r="R776" t="s">
        <v>74</v>
      </c>
      <c r="S776">
        <v>2021</v>
      </c>
      <c r="T776" t="s">
        <v>58</v>
      </c>
      <c r="U776">
        <v>41023</v>
      </c>
      <c r="V776">
        <v>76.44</v>
      </c>
      <c r="W776">
        <v>73.33</v>
      </c>
      <c r="X776">
        <v>39.56</v>
      </c>
      <c r="Y776">
        <v>57.15</v>
      </c>
    </row>
    <row r="777" spans="1:25" x14ac:dyDescent="0.3">
      <c r="A777" t="s">
        <v>312</v>
      </c>
      <c r="B777" t="str">
        <f t="shared" si="12"/>
        <v>Aug</v>
      </c>
      <c r="C777" t="s">
        <v>55</v>
      </c>
      <c r="D777" t="s">
        <v>56</v>
      </c>
      <c r="E777">
        <v>537795593233.72998</v>
      </c>
      <c r="F777">
        <v>3307.99</v>
      </c>
      <c r="G777">
        <v>10709938096.280001</v>
      </c>
      <c r="H777">
        <v>18685701</v>
      </c>
      <c r="I777">
        <v>19731188</v>
      </c>
      <c r="J777">
        <v>20347568</v>
      </c>
      <c r="K777">
        <v>4.38</v>
      </c>
      <c r="L777">
        <v>3.57</v>
      </c>
      <c r="M777">
        <v>2.21</v>
      </c>
      <c r="N777">
        <v>11.26</v>
      </c>
      <c r="O777">
        <v>144</v>
      </c>
      <c r="P777" t="s">
        <v>53</v>
      </c>
      <c r="Q777" t="s">
        <v>34</v>
      </c>
      <c r="R777" t="s">
        <v>42</v>
      </c>
      <c r="S777">
        <v>2016</v>
      </c>
      <c r="T777" t="s">
        <v>58</v>
      </c>
      <c r="U777">
        <v>21088</v>
      </c>
      <c r="V777">
        <v>60.33</v>
      </c>
      <c r="W777">
        <v>98.5</v>
      </c>
      <c r="X777">
        <v>25.74</v>
      </c>
      <c r="Y777">
        <v>23.07</v>
      </c>
    </row>
    <row r="778" spans="1:25" x14ac:dyDescent="0.3">
      <c r="A778" t="s">
        <v>284</v>
      </c>
      <c r="B778" t="str">
        <f t="shared" si="12"/>
        <v>Jun</v>
      </c>
      <c r="C778" t="s">
        <v>55</v>
      </c>
      <c r="D778" t="s">
        <v>56</v>
      </c>
      <c r="E778">
        <v>199947487770.01001</v>
      </c>
      <c r="F778">
        <v>65357.07</v>
      </c>
      <c r="G778">
        <v>18819762944.599998</v>
      </c>
      <c r="H778">
        <v>4495682</v>
      </c>
      <c r="I778">
        <v>8690274</v>
      </c>
      <c r="J778">
        <v>8756764</v>
      </c>
      <c r="K778">
        <v>30.95</v>
      </c>
      <c r="L778">
        <v>4.6399999999999997</v>
      </c>
      <c r="M778">
        <v>-18.37</v>
      </c>
      <c r="N778">
        <v>21.05</v>
      </c>
      <c r="O778">
        <v>51</v>
      </c>
      <c r="P778" t="s">
        <v>27</v>
      </c>
      <c r="Q778" t="s">
        <v>34</v>
      </c>
      <c r="R778" t="s">
        <v>29</v>
      </c>
      <c r="S778">
        <v>2010</v>
      </c>
      <c r="T778" t="s">
        <v>58</v>
      </c>
      <c r="U778">
        <v>58979</v>
      </c>
      <c r="V778">
        <v>15.18</v>
      </c>
      <c r="W778">
        <v>45.15</v>
      </c>
      <c r="X778">
        <v>18.41</v>
      </c>
      <c r="Y778">
        <v>87.75</v>
      </c>
    </row>
    <row r="779" spans="1:25" x14ac:dyDescent="0.3">
      <c r="A779" t="s">
        <v>312</v>
      </c>
      <c r="B779" t="str">
        <f t="shared" si="12"/>
        <v>Aug</v>
      </c>
      <c r="C779" t="s">
        <v>55</v>
      </c>
      <c r="D779" t="s">
        <v>56</v>
      </c>
      <c r="E779">
        <v>363724846891.06</v>
      </c>
      <c r="F779">
        <v>67372.44</v>
      </c>
      <c r="G779">
        <v>19839117346.630001</v>
      </c>
      <c r="H779">
        <v>11892042</v>
      </c>
      <c r="I779">
        <v>13431381</v>
      </c>
      <c r="J779">
        <v>13603629</v>
      </c>
      <c r="K779">
        <v>34.57</v>
      </c>
      <c r="L779">
        <v>-3.69</v>
      </c>
      <c r="M779">
        <v>14.07</v>
      </c>
      <c r="N779">
        <v>-17.420000000000002</v>
      </c>
      <c r="O779">
        <v>188</v>
      </c>
      <c r="P779" t="s">
        <v>53</v>
      </c>
      <c r="Q779" t="s">
        <v>47</v>
      </c>
      <c r="R779" t="s">
        <v>74</v>
      </c>
      <c r="S779">
        <v>2015</v>
      </c>
      <c r="T779" t="s">
        <v>58</v>
      </c>
      <c r="U779">
        <v>23511</v>
      </c>
      <c r="V779">
        <v>32.5</v>
      </c>
      <c r="W779">
        <v>69.760000000000005</v>
      </c>
      <c r="X779">
        <v>18.149999999999999</v>
      </c>
      <c r="Y779">
        <v>73.37</v>
      </c>
    </row>
    <row r="780" spans="1:25" x14ac:dyDescent="0.3">
      <c r="A780" t="s">
        <v>264</v>
      </c>
      <c r="B780" t="str">
        <f t="shared" si="12"/>
        <v>Feb</v>
      </c>
      <c r="C780" t="s">
        <v>44</v>
      </c>
      <c r="D780" t="s">
        <v>45</v>
      </c>
      <c r="E780">
        <v>506546156875.78003</v>
      </c>
      <c r="F780">
        <v>50052.3</v>
      </c>
      <c r="G780">
        <v>40675771873.790001</v>
      </c>
      <c r="H780">
        <v>11886760</v>
      </c>
      <c r="I780">
        <v>14673261</v>
      </c>
      <c r="J780">
        <v>14757780</v>
      </c>
      <c r="K780">
        <v>56.75</v>
      </c>
      <c r="L780">
        <v>3.67</v>
      </c>
      <c r="M780">
        <v>-0.01</v>
      </c>
      <c r="N780">
        <v>-6.83</v>
      </c>
      <c r="O780">
        <v>150</v>
      </c>
      <c r="P780" t="s">
        <v>46</v>
      </c>
      <c r="Q780" t="s">
        <v>28</v>
      </c>
      <c r="R780" t="s">
        <v>35</v>
      </c>
      <c r="S780">
        <v>2020</v>
      </c>
      <c r="T780" t="s">
        <v>36</v>
      </c>
      <c r="U780">
        <v>61452</v>
      </c>
      <c r="V780">
        <v>53.77</v>
      </c>
      <c r="W780">
        <v>89.89</v>
      </c>
      <c r="X780">
        <v>45.39</v>
      </c>
      <c r="Y780">
        <v>77.430000000000007</v>
      </c>
    </row>
    <row r="781" spans="1:25" x14ac:dyDescent="0.3">
      <c r="A781" t="s">
        <v>176</v>
      </c>
      <c r="B781" t="str">
        <f t="shared" si="12"/>
        <v>Apr</v>
      </c>
      <c r="C781" t="s">
        <v>68</v>
      </c>
      <c r="D781" t="s">
        <v>69</v>
      </c>
      <c r="E781">
        <v>889340191906.91003</v>
      </c>
      <c r="F781">
        <v>7085.76</v>
      </c>
      <c r="G781">
        <v>48548416034.370003</v>
      </c>
      <c r="H781">
        <v>2971437</v>
      </c>
      <c r="I781">
        <v>4804880</v>
      </c>
      <c r="J781">
        <v>4948544</v>
      </c>
      <c r="K781">
        <v>44.24</v>
      </c>
      <c r="L781">
        <v>-4.1500000000000004</v>
      </c>
      <c r="M781">
        <v>16.45</v>
      </c>
      <c r="N781">
        <v>-5.13</v>
      </c>
      <c r="O781">
        <v>122</v>
      </c>
      <c r="P781" t="s">
        <v>27</v>
      </c>
      <c r="Q781" t="s">
        <v>57</v>
      </c>
      <c r="R781" t="s">
        <v>29</v>
      </c>
      <c r="S781">
        <v>2010</v>
      </c>
      <c r="T781" t="s">
        <v>36</v>
      </c>
      <c r="U781">
        <v>7619</v>
      </c>
      <c r="V781">
        <v>48.1</v>
      </c>
      <c r="W781">
        <v>66.569999999999993</v>
      </c>
      <c r="X781">
        <v>35.46</v>
      </c>
      <c r="Y781">
        <v>52.4</v>
      </c>
    </row>
    <row r="782" spans="1:25" x14ac:dyDescent="0.3">
      <c r="A782" t="s">
        <v>330</v>
      </c>
      <c r="B782" t="str">
        <f t="shared" si="12"/>
        <v>May</v>
      </c>
      <c r="C782" t="s">
        <v>32</v>
      </c>
      <c r="D782" t="s">
        <v>33</v>
      </c>
      <c r="E782">
        <v>831628652258.28003</v>
      </c>
      <c r="F782">
        <v>18263.11</v>
      </c>
      <c r="G782">
        <v>7031650776.9099998</v>
      </c>
      <c r="H782">
        <v>7125091</v>
      </c>
      <c r="I782">
        <v>9862346</v>
      </c>
      <c r="J782">
        <v>9997336</v>
      </c>
      <c r="K782">
        <v>49.55</v>
      </c>
      <c r="L782">
        <v>0.84</v>
      </c>
      <c r="M782">
        <v>17.18</v>
      </c>
      <c r="N782">
        <v>-12.2</v>
      </c>
      <c r="O782">
        <v>160</v>
      </c>
      <c r="P782" t="s">
        <v>27</v>
      </c>
      <c r="Q782" t="s">
        <v>28</v>
      </c>
      <c r="R782" t="s">
        <v>29</v>
      </c>
      <c r="S782">
        <v>2017</v>
      </c>
      <c r="T782" t="s">
        <v>36</v>
      </c>
      <c r="U782">
        <v>29414</v>
      </c>
      <c r="V782">
        <v>69.95</v>
      </c>
      <c r="W782">
        <v>60.68</v>
      </c>
      <c r="X782">
        <v>95.2</v>
      </c>
      <c r="Y782">
        <v>84.52</v>
      </c>
    </row>
    <row r="783" spans="1:25" x14ac:dyDescent="0.3">
      <c r="A783" t="s">
        <v>258</v>
      </c>
      <c r="B783" t="str">
        <f t="shared" si="12"/>
        <v>Mar</v>
      </c>
      <c r="C783" t="s">
        <v>60</v>
      </c>
      <c r="D783" t="s">
        <v>61</v>
      </c>
      <c r="E783">
        <v>146821583216.64001</v>
      </c>
      <c r="F783">
        <v>50247.89</v>
      </c>
      <c r="G783">
        <v>42046429127.300003</v>
      </c>
      <c r="H783">
        <v>18855963</v>
      </c>
      <c r="I783">
        <v>21952602</v>
      </c>
      <c r="J783">
        <v>22110577</v>
      </c>
      <c r="K783">
        <v>26.29</v>
      </c>
      <c r="L783">
        <v>3.87</v>
      </c>
      <c r="M783">
        <v>17.46</v>
      </c>
      <c r="N783">
        <v>38.380000000000003</v>
      </c>
      <c r="O783">
        <v>26</v>
      </c>
      <c r="P783" t="s">
        <v>46</v>
      </c>
      <c r="Q783" t="s">
        <v>28</v>
      </c>
      <c r="R783" t="s">
        <v>29</v>
      </c>
      <c r="S783">
        <v>2018</v>
      </c>
      <c r="T783" t="s">
        <v>30</v>
      </c>
      <c r="U783">
        <v>12919</v>
      </c>
      <c r="V783">
        <v>10.07</v>
      </c>
      <c r="W783">
        <v>91.44</v>
      </c>
      <c r="X783">
        <v>31.45</v>
      </c>
      <c r="Y783">
        <v>91.88</v>
      </c>
    </row>
    <row r="784" spans="1:25" x14ac:dyDescent="0.3">
      <c r="A784" t="s">
        <v>223</v>
      </c>
      <c r="B784" t="str">
        <f t="shared" si="12"/>
        <v>Jul</v>
      </c>
      <c r="C784" t="s">
        <v>60</v>
      </c>
      <c r="D784" t="s">
        <v>61</v>
      </c>
      <c r="E784">
        <v>834768017870.34998</v>
      </c>
      <c r="F784">
        <v>50499.93</v>
      </c>
      <c r="G784">
        <v>46278376440.779999</v>
      </c>
      <c r="H784">
        <v>9524854</v>
      </c>
      <c r="I784">
        <v>10810240</v>
      </c>
      <c r="J784">
        <v>11309798</v>
      </c>
      <c r="K784">
        <v>5.33</v>
      </c>
      <c r="L784">
        <v>-3.94</v>
      </c>
      <c r="M784">
        <v>4.17</v>
      </c>
      <c r="N784">
        <v>31.35</v>
      </c>
      <c r="O784">
        <v>69</v>
      </c>
      <c r="P784" t="s">
        <v>46</v>
      </c>
      <c r="Q784" t="s">
        <v>34</v>
      </c>
      <c r="R784" t="s">
        <v>42</v>
      </c>
      <c r="S784">
        <v>2013</v>
      </c>
      <c r="T784" t="s">
        <v>30</v>
      </c>
      <c r="U784">
        <v>54436</v>
      </c>
      <c r="V784">
        <v>31.35</v>
      </c>
      <c r="W784">
        <v>51.12</v>
      </c>
      <c r="X784">
        <v>75.91</v>
      </c>
      <c r="Y784">
        <v>86.2</v>
      </c>
    </row>
    <row r="785" spans="1:25" x14ac:dyDescent="0.3">
      <c r="A785" t="s">
        <v>269</v>
      </c>
      <c r="B785" t="str">
        <f t="shared" si="12"/>
        <v>Jul</v>
      </c>
      <c r="C785" t="s">
        <v>38</v>
      </c>
      <c r="D785" t="s">
        <v>39</v>
      </c>
      <c r="E785">
        <v>177515155738.47</v>
      </c>
      <c r="F785">
        <v>27013.8</v>
      </c>
      <c r="G785">
        <v>11019962894.950001</v>
      </c>
      <c r="H785">
        <v>2150505</v>
      </c>
      <c r="I785">
        <v>6978500</v>
      </c>
      <c r="J785">
        <v>7950932</v>
      </c>
      <c r="K785">
        <v>41.08</v>
      </c>
      <c r="L785">
        <v>-4.3499999999999996</v>
      </c>
      <c r="M785">
        <v>-12.15</v>
      </c>
      <c r="N785">
        <v>-14.44</v>
      </c>
      <c r="O785">
        <v>164</v>
      </c>
      <c r="P785" t="s">
        <v>51</v>
      </c>
      <c r="Q785" t="s">
        <v>41</v>
      </c>
      <c r="R785" t="s">
        <v>35</v>
      </c>
      <c r="S785">
        <v>2016</v>
      </c>
      <c r="T785" t="s">
        <v>36</v>
      </c>
      <c r="U785">
        <v>60916</v>
      </c>
      <c r="V785">
        <v>39.909999999999997</v>
      </c>
      <c r="W785">
        <v>78.83</v>
      </c>
      <c r="X785">
        <v>44.17</v>
      </c>
      <c r="Y785">
        <v>16.52</v>
      </c>
    </row>
    <row r="786" spans="1:25" x14ac:dyDescent="0.3">
      <c r="A786" t="s">
        <v>397</v>
      </c>
      <c r="B786" t="str">
        <f t="shared" si="12"/>
        <v>Dec</v>
      </c>
      <c r="C786" t="s">
        <v>68</v>
      </c>
      <c r="D786" t="s">
        <v>69</v>
      </c>
      <c r="E786">
        <v>853302889504.60999</v>
      </c>
      <c r="F786">
        <v>27804.14</v>
      </c>
      <c r="G786">
        <v>21379182399.759998</v>
      </c>
      <c r="H786">
        <v>7012924</v>
      </c>
      <c r="I786">
        <v>11650245</v>
      </c>
      <c r="J786">
        <v>12405771</v>
      </c>
      <c r="K786">
        <v>36.04</v>
      </c>
      <c r="L786">
        <v>3.5</v>
      </c>
      <c r="M786">
        <v>-7.09</v>
      </c>
      <c r="N786">
        <v>13.06</v>
      </c>
      <c r="O786">
        <v>40</v>
      </c>
      <c r="P786" t="s">
        <v>51</v>
      </c>
      <c r="Q786" t="s">
        <v>47</v>
      </c>
      <c r="R786" t="s">
        <v>42</v>
      </c>
      <c r="S786">
        <v>2015</v>
      </c>
      <c r="T786" t="s">
        <v>36</v>
      </c>
      <c r="U786">
        <v>34778</v>
      </c>
      <c r="V786">
        <v>58.91</v>
      </c>
      <c r="W786">
        <v>62.04</v>
      </c>
      <c r="X786">
        <v>83.05</v>
      </c>
      <c r="Y786">
        <v>99.98</v>
      </c>
    </row>
    <row r="787" spans="1:25" x14ac:dyDescent="0.3">
      <c r="A787" t="s">
        <v>398</v>
      </c>
      <c r="B787" t="str">
        <f t="shared" si="12"/>
        <v>Oct</v>
      </c>
      <c r="C787" t="s">
        <v>25</v>
      </c>
      <c r="D787" t="s">
        <v>26</v>
      </c>
      <c r="E787">
        <v>772926089524.39001</v>
      </c>
      <c r="F787">
        <v>27144.18</v>
      </c>
      <c r="G787">
        <v>14636569731.91</v>
      </c>
      <c r="H787">
        <v>15657956</v>
      </c>
      <c r="I787">
        <v>20555364</v>
      </c>
      <c r="J787">
        <v>20669986</v>
      </c>
      <c r="K787">
        <v>40.409999999999997</v>
      </c>
      <c r="L787">
        <v>3.45</v>
      </c>
      <c r="M787">
        <v>-1.79</v>
      </c>
      <c r="N787">
        <v>-13.2</v>
      </c>
      <c r="O787">
        <v>3</v>
      </c>
      <c r="P787" t="s">
        <v>51</v>
      </c>
      <c r="Q787" t="s">
        <v>28</v>
      </c>
      <c r="R787" t="s">
        <v>35</v>
      </c>
      <c r="S787">
        <v>2023</v>
      </c>
      <c r="T787" t="s">
        <v>30</v>
      </c>
      <c r="U787">
        <v>23683</v>
      </c>
      <c r="V787">
        <v>84.08</v>
      </c>
      <c r="W787">
        <v>81.8</v>
      </c>
      <c r="X787">
        <v>45.11</v>
      </c>
      <c r="Y787">
        <v>32.119999999999997</v>
      </c>
    </row>
    <row r="788" spans="1:25" x14ac:dyDescent="0.3">
      <c r="A788" t="s">
        <v>159</v>
      </c>
      <c r="B788" t="str">
        <f t="shared" si="12"/>
        <v>Oct</v>
      </c>
      <c r="C788" t="s">
        <v>44</v>
      </c>
      <c r="D788" t="s">
        <v>45</v>
      </c>
      <c r="E788">
        <v>158504237447.85999</v>
      </c>
      <c r="F788">
        <v>33899.39</v>
      </c>
      <c r="G788">
        <v>20913104092.810001</v>
      </c>
      <c r="H788">
        <v>13496677</v>
      </c>
      <c r="I788">
        <v>14989189</v>
      </c>
      <c r="J788">
        <v>15132543</v>
      </c>
      <c r="K788">
        <v>44.35</v>
      </c>
      <c r="L788">
        <v>-0.13</v>
      </c>
      <c r="M788">
        <v>-19.059999999999999</v>
      </c>
      <c r="N788">
        <v>-22.33</v>
      </c>
      <c r="O788">
        <v>132</v>
      </c>
      <c r="P788" t="s">
        <v>46</v>
      </c>
      <c r="Q788" t="s">
        <v>28</v>
      </c>
      <c r="R788" t="s">
        <v>64</v>
      </c>
      <c r="S788">
        <v>2012</v>
      </c>
      <c r="T788" t="s">
        <v>36</v>
      </c>
      <c r="U788">
        <v>17655</v>
      </c>
      <c r="V788">
        <v>30.82</v>
      </c>
      <c r="W788">
        <v>67.42</v>
      </c>
      <c r="X788">
        <v>99.72</v>
      </c>
      <c r="Y788">
        <v>58.53</v>
      </c>
    </row>
    <row r="789" spans="1:25" x14ac:dyDescent="0.3">
      <c r="A789" t="s">
        <v>198</v>
      </c>
      <c r="B789" t="str">
        <f t="shared" si="12"/>
        <v>Jun</v>
      </c>
      <c r="C789" t="s">
        <v>49</v>
      </c>
      <c r="D789" t="s">
        <v>50</v>
      </c>
      <c r="E789">
        <v>720516408464.85999</v>
      </c>
      <c r="F789">
        <v>1915.49</v>
      </c>
      <c r="G789">
        <v>42344427701.489998</v>
      </c>
      <c r="H789">
        <v>12608744</v>
      </c>
      <c r="I789">
        <v>12737221</v>
      </c>
      <c r="J789">
        <v>13563536</v>
      </c>
      <c r="K789">
        <v>16.739999999999998</v>
      </c>
      <c r="L789">
        <v>2</v>
      </c>
      <c r="M789">
        <v>14.84</v>
      </c>
      <c r="N789">
        <v>-33.92</v>
      </c>
      <c r="O789">
        <v>83</v>
      </c>
      <c r="P789" t="s">
        <v>46</v>
      </c>
      <c r="Q789" t="s">
        <v>41</v>
      </c>
      <c r="R789" t="s">
        <v>64</v>
      </c>
      <c r="S789">
        <v>2020</v>
      </c>
      <c r="T789" t="s">
        <v>36</v>
      </c>
      <c r="U789">
        <v>5521</v>
      </c>
      <c r="V789">
        <v>52.8</v>
      </c>
      <c r="W789">
        <v>43.95</v>
      </c>
      <c r="X789">
        <v>21.05</v>
      </c>
      <c r="Y789">
        <v>47.35</v>
      </c>
    </row>
    <row r="790" spans="1:25" x14ac:dyDescent="0.3">
      <c r="A790" t="s">
        <v>378</v>
      </c>
      <c r="B790" t="str">
        <f t="shared" si="12"/>
        <v>Jan</v>
      </c>
      <c r="C790" t="s">
        <v>60</v>
      </c>
      <c r="D790" t="s">
        <v>61</v>
      </c>
      <c r="E790">
        <v>658794226933.68005</v>
      </c>
      <c r="F790">
        <v>26067.74</v>
      </c>
      <c r="G790">
        <v>20406152376.990002</v>
      </c>
      <c r="H790">
        <v>17893068</v>
      </c>
      <c r="I790">
        <v>21459811</v>
      </c>
      <c r="J790">
        <v>22440708</v>
      </c>
      <c r="K790">
        <v>9.9600000000000009</v>
      </c>
      <c r="L790">
        <v>-3.19</v>
      </c>
      <c r="M790">
        <v>12.7</v>
      </c>
      <c r="N790">
        <v>-26.12</v>
      </c>
      <c r="O790">
        <v>197</v>
      </c>
      <c r="P790" t="s">
        <v>53</v>
      </c>
      <c r="Q790" t="s">
        <v>47</v>
      </c>
      <c r="R790" t="s">
        <v>42</v>
      </c>
      <c r="S790">
        <v>2019</v>
      </c>
      <c r="T790" t="s">
        <v>30</v>
      </c>
      <c r="U790">
        <v>57864</v>
      </c>
      <c r="V790">
        <v>32.19</v>
      </c>
      <c r="W790">
        <v>67.5</v>
      </c>
      <c r="X790">
        <v>58.26</v>
      </c>
      <c r="Y790">
        <v>17.7</v>
      </c>
    </row>
    <row r="791" spans="1:25" x14ac:dyDescent="0.3">
      <c r="A791" t="s">
        <v>279</v>
      </c>
      <c r="B791" t="str">
        <f t="shared" si="12"/>
        <v>Nov</v>
      </c>
      <c r="C791" t="s">
        <v>78</v>
      </c>
      <c r="D791" t="s">
        <v>79</v>
      </c>
      <c r="E791">
        <v>425305317131.29999</v>
      </c>
      <c r="F791">
        <v>6591.89</v>
      </c>
      <c r="G791">
        <v>40012457532.910004</v>
      </c>
      <c r="H791">
        <v>7756376</v>
      </c>
      <c r="I791">
        <v>12695565</v>
      </c>
      <c r="J791">
        <v>13284290</v>
      </c>
      <c r="K791">
        <v>58.63</v>
      </c>
      <c r="L791">
        <v>-4.51</v>
      </c>
      <c r="M791">
        <v>0.14000000000000001</v>
      </c>
      <c r="N791">
        <v>-15.42</v>
      </c>
      <c r="O791">
        <v>118</v>
      </c>
      <c r="P791" t="s">
        <v>46</v>
      </c>
      <c r="Q791" t="s">
        <v>34</v>
      </c>
      <c r="R791" t="s">
        <v>64</v>
      </c>
      <c r="S791">
        <v>2020</v>
      </c>
      <c r="T791" t="s">
        <v>36</v>
      </c>
      <c r="U791">
        <v>53391</v>
      </c>
      <c r="V791">
        <v>79.66</v>
      </c>
      <c r="W791">
        <v>96.41</v>
      </c>
      <c r="X791">
        <v>56.87</v>
      </c>
      <c r="Y791">
        <v>26.73</v>
      </c>
    </row>
    <row r="792" spans="1:25" x14ac:dyDescent="0.3">
      <c r="A792" t="s">
        <v>128</v>
      </c>
      <c r="B792" t="str">
        <f t="shared" si="12"/>
        <v>Nov</v>
      </c>
      <c r="C792" t="s">
        <v>32</v>
      </c>
      <c r="D792" t="s">
        <v>33</v>
      </c>
      <c r="E792">
        <v>258094548827.29001</v>
      </c>
      <c r="F792">
        <v>24618.69</v>
      </c>
      <c r="G792">
        <v>40426283952.230003</v>
      </c>
      <c r="H792">
        <v>3965350</v>
      </c>
      <c r="I792">
        <v>7086318</v>
      </c>
      <c r="J792">
        <v>7222552</v>
      </c>
      <c r="K792">
        <v>8.52</v>
      </c>
      <c r="L792">
        <v>-2.39</v>
      </c>
      <c r="M792">
        <v>7.07</v>
      </c>
      <c r="N792">
        <v>-5.29</v>
      </c>
      <c r="O792">
        <v>66</v>
      </c>
      <c r="P792" t="s">
        <v>51</v>
      </c>
      <c r="Q792" t="s">
        <v>28</v>
      </c>
      <c r="R792" t="s">
        <v>42</v>
      </c>
      <c r="S792">
        <v>2012</v>
      </c>
      <c r="T792" t="s">
        <v>36</v>
      </c>
      <c r="U792">
        <v>36729</v>
      </c>
      <c r="V792">
        <v>62.97</v>
      </c>
      <c r="W792">
        <v>47.83</v>
      </c>
      <c r="X792">
        <v>55.67</v>
      </c>
      <c r="Y792">
        <v>85.37</v>
      </c>
    </row>
    <row r="793" spans="1:25" x14ac:dyDescent="0.3">
      <c r="A793" t="s">
        <v>65</v>
      </c>
      <c r="B793" t="str">
        <f t="shared" si="12"/>
        <v>May</v>
      </c>
      <c r="C793" t="s">
        <v>68</v>
      </c>
      <c r="D793" t="s">
        <v>69</v>
      </c>
      <c r="E793">
        <v>153684986956.87</v>
      </c>
      <c r="F793">
        <v>8337.59</v>
      </c>
      <c r="G793">
        <v>11571600244.780001</v>
      </c>
      <c r="H793">
        <v>4864018</v>
      </c>
      <c r="I793">
        <v>8477148</v>
      </c>
      <c r="J793">
        <v>9424111</v>
      </c>
      <c r="K793">
        <v>32.28</v>
      </c>
      <c r="L793">
        <v>-1.64</v>
      </c>
      <c r="M793">
        <v>-11.91</v>
      </c>
      <c r="N793">
        <v>22.15</v>
      </c>
      <c r="O793">
        <v>129</v>
      </c>
      <c r="P793" t="s">
        <v>27</v>
      </c>
      <c r="Q793" t="s">
        <v>34</v>
      </c>
      <c r="R793" t="s">
        <v>74</v>
      </c>
      <c r="S793">
        <v>2019</v>
      </c>
      <c r="T793" t="s">
        <v>36</v>
      </c>
      <c r="U793">
        <v>54782</v>
      </c>
      <c r="V793">
        <v>71.61</v>
      </c>
      <c r="W793">
        <v>94.47</v>
      </c>
      <c r="X793">
        <v>45.87</v>
      </c>
      <c r="Y793">
        <v>78.66</v>
      </c>
    </row>
    <row r="794" spans="1:25" x14ac:dyDescent="0.3">
      <c r="A794" t="s">
        <v>335</v>
      </c>
      <c r="B794" t="str">
        <f t="shared" si="12"/>
        <v>Jan</v>
      </c>
      <c r="C794" t="s">
        <v>55</v>
      </c>
      <c r="D794" t="s">
        <v>56</v>
      </c>
      <c r="E794">
        <v>151784414220.37</v>
      </c>
      <c r="F794">
        <v>42702.86</v>
      </c>
      <c r="G794">
        <v>6019252390.5200005</v>
      </c>
      <c r="H794">
        <v>9928294</v>
      </c>
      <c r="I794">
        <v>11029320</v>
      </c>
      <c r="J794">
        <v>11032487</v>
      </c>
      <c r="K794">
        <v>2.38</v>
      </c>
      <c r="L794">
        <v>2.0299999999999998</v>
      </c>
      <c r="M794">
        <v>-1.1599999999999999</v>
      </c>
      <c r="N794">
        <v>-26.35</v>
      </c>
      <c r="O794">
        <v>171</v>
      </c>
      <c r="P794" t="s">
        <v>40</v>
      </c>
      <c r="Q794" t="s">
        <v>28</v>
      </c>
      <c r="R794" t="s">
        <v>35</v>
      </c>
      <c r="S794">
        <v>2019</v>
      </c>
      <c r="T794" t="s">
        <v>58</v>
      </c>
      <c r="U794">
        <v>32567</v>
      </c>
      <c r="V794">
        <v>45.35</v>
      </c>
      <c r="W794">
        <v>90.55</v>
      </c>
      <c r="X794">
        <v>61.6</v>
      </c>
      <c r="Y794">
        <v>45.4</v>
      </c>
    </row>
    <row r="795" spans="1:25" x14ac:dyDescent="0.3">
      <c r="A795" t="s">
        <v>302</v>
      </c>
      <c r="B795" t="str">
        <f t="shared" si="12"/>
        <v>Feb</v>
      </c>
      <c r="C795" t="s">
        <v>49</v>
      </c>
      <c r="D795" t="s">
        <v>50</v>
      </c>
      <c r="E795">
        <v>502408744756.51001</v>
      </c>
      <c r="F795">
        <v>43623.07</v>
      </c>
      <c r="G795">
        <v>41482394033.760002</v>
      </c>
      <c r="H795">
        <v>4142135</v>
      </c>
      <c r="I795">
        <v>7950247</v>
      </c>
      <c r="J795">
        <v>8398794</v>
      </c>
      <c r="K795">
        <v>25.5</v>
      </c>
      <c r="L795">
        <v>4.41</v>
      </c>
      <c r="M795">
        <v>13.64</v>
      </c>
      <c r="N795">
        <v>37.979999999999997</v>
      </c>
      <c r="O795">
        <v>74</v>
      </c>
      <c r="P795" t="s">
        <v>53</v>
      </c>
      <c r="Q795" t="s">
        <v>41</v>
      </c>
      <c r="R795" t="s">
        <v>42</v>
      </c>
      <c r="S795">
        <v>2019</v>
      </c>
      <c r="T795" t="s">
        <v>36</v>
      </c>
      <c r="U795">
        <v>25433</v>
      </c>
      <c r="V795">
        <v>76.36</v>
      </c>
      <c r="W795">
        <v>39.31</v>
      </c>
      <c r="X795">
        <v>79.87</v>
      </c>
      <c r="Y795">
        <v>41.65</v>
      </c>
    </row>
    <row r="796" spans="1:25" x14ac:dyDescent="0.3">
      <c r="A796" t="s">
        <v>399</v>
      </c>
      <c r="B796" t="str">
        <f t="shared" si="12"/>
        <v>Apr</v>
      </c>
      <c r="C796" t="s">
        <v>32</v>
      </c>
      <c r="D796" t="s">
        <v>33</v>
      </c>
      <c r="E796">
        <v>664036621644.10999</v>
      </c>
      <c r="F796">
        <v>38705.68</v>
      </c>
      <c r="G796">
        <v>38173093688.25</v>
      </c>
      <c r="H796">
        <v>1962216</v>
      </c>
      <c r="I796">
        <v>6513960</v>
      </c>
      <c r="J796">
        <v>7458160</v>
      </c>
      <c r="K796">
        <v>38.799999999999997</v>
      </c>
      <c r="L796">
        <v>2.2400000000000002</v>
      </c>
      <c r="M796">
        <v>8.18</v>
      </c>
      <c r="N796">
        <v>23.53</v>
      </c>
      <c r="O796">
        <v>35</v>
      </c>
      <c r="P796" t="s">
        <v>27</v>
      </c>
      <c r="Q796" t="s">
        <v>57</v>
      </c>
      <c r="R796" t="s">
        <v>74</v>
      </c>
      <c r="S796">
        <v>2015</v>
      </c>
      <c r="T796" t="s">
        <v>36</v>
      </c>
      <c r="U796">
        <v>60444</v>
      </c>
      <c r="V796">
        <v>11.97</v>
      </c>
      <c r="W796">
        <v>26.93</v>
      </c>
      <c r="X796">
        <v>79.040000000000006</v>
      </c>
      <c r="Y796">
        <v>17.690000000000001</v>
      </c>
    </row>
    <row r="797" spans="1:25" x14ac:dyDescent="0.3">
      <c r="A797" t="s">
        <v>231</v>
      </c>
      <c r="B797" t="str">
        <f t="shared" si="12"/>
        <v>May</v>
      </c>
      <c r="C797" t="s">
        <v>78</v>
      </c>
      <c r="D797" t="s">
        <v>79</v>
      </c>
      <c r="E797">
        <v>379727811175.95001</v>
      </c>
      <c r="F797">
        <v>49745.65</v>
      </c>
      <c r="G797">
        <v>40707674506.419998</v>
      </c>
      <c r="H797">
        <v>17741800</v>
      </c>
      <c r="I797">
        <v>21180302</v>
      </c>
      <c r="J797">
        <v>21480925</v>
      </c>
      <c r="K797">
        <v>14.02</v>
      </c>
      <c r="L797">
        <v>-1.66</v>
      </c>
      <c r="M797">
        <v>13.03</v>
      </c>
      <c r="N797">
        <v>39.31</v>
      </c>
      <c r="O797">
        <v>130</v>
      </c>
      <c r="P797" t="s">
        <v>53</v>
      </c>
      <c r="Q797" t="s">
        <v>28</v>
      </c>
      <c r="R797" t="s">
        <v>35</v>
      </c>
      <c r="S797">
        <v>2016</v>
      </c>
      <c r="T797" t="s">
        <v>36</v>
      </c>
      <c r="U797">
        <v>21809</v>
      </c>
      <c r="V797">
        <v>71.95</v>
      </c>
      <c r="W797">
        <v>67.930000000000007</v>
      </c>
      <c r="X797">
        <v>61.44</v>
      </c>
      <c r="Y797">
        <v>34.340000000000003</v>
      </c>
    </row>
    <row r="798" spans="1:25" x14ac:dyDescent="0.3">
      <c r="A798" t="s">
        <v>131</v>
      </c>
      <c r="B798" t="str">
        <f t="shared" si="12"/>
        <v>Jun</v>
      </c>
      <c r="C798" t="s">
        <v>49</v>
      </c>
      <c r="D798" t="s">
        <v>50</v>
      </c>
      <c r="E798">
        <v>233124990243.98999</v>
      </c>
      <c r="F798">
        <v>14341.86</v>
      </c>
      <c r="G798">
        <v>35071152899.209999</v>
      </c>
      <c r="H798">
        <v>16266983</v>
      </c>
      <c r="I798">
        <v>20707253</v>
      </c>
      <c r="J798">
        <v>20868293</v>
      </c>
      <c r="K798">
        <v>11.13</v>
      </c>
      <c r="L798">
        <v>-2.81</v>
      </c>
      <c r="M798">
        <v>16.309999999999999</v>
      </c>
      <c r="N798">
        <v>8.1300000000000008</v>
      </c>
      <c r="O798">
        <v>62</v>
      </c>
      <c r="P798" t="s">
        <v>27</v>
      </c>
      <c r="Q798" t="s">
        <v>28</v>
      </c>
      <c r="R798" t="s">
        <v>35</v>
      </c>
      <c r="S798">
        <v>2019</v>
      </c>
      <c r="T798" t="s">
        <v>36</v>
      </c>
      <c r="U798">
        <v>6821</v>
      </c>
      <c r="V798">
        <v>30.44</v>
      </c>
      <c r="W798">
        <v>77.62</v>
      </c>
      <c r="X798">
        <v>34.869999999999997</v>
      </c>
      <c r="Y798">
        <v>60.58</v>
      </c>
    </row>
    <row r="799" spans="1:25" x14ac:dyDescent="0.3">
      <c r="A799" t="s">
        <v>331</v>
      </c>
      <c r="B799" t="str">
        <f t="shared" si="12"/>
        <v>Oct</v>
      </c>
      <c r="C799" t="s">
        <v>78</v>
      </c>
      <c r="D799" t="s">
        <v>79</v>
      </c>
      <c r="E799">
        <v>785424372282.63</v>
      </c>
      <c r="F799">
        <v>3947.78</v>
      </c>
      <c r="G799">
        <v>7757175223.8999996</v>
      </c>
      <c r="H799">
        <v>14379731</v>
      </c>
      <c r="I799">
        <v>15246854</v>
      </c>
      <c r="J799">
        <v>15465479</v>
      </c>
      <c r="K799">
        <v>10.46</v>
      </c>
      <c r="L799">
        <v>-1.02</v>
      </c>
      <c r="M799">
        <v>-19.489999999999998</v>
      </c>
      <c r="N799">
        <v>-38.35</v>
      </c>
      <c r="O799">
        <v>32</v>
      </c>
      <c r="P799" t="s">
        <v>46</v>
      </c>
      <c r="Q799" t="s">
        <v>47</v>
      </c>
      <c r="R799" t="s">
        <v>35</v>
      </c>
      <c r="S799">
        <v>2016</v>
      </c>
      <c r="T799" t="s">
        <v>36</v>
      </c>
      <c r="U799">
        <v>30548</v>
      </c>
      <c r="V799">
        <v>78.17</v>
      </c>
      <c r="W799">
        <v>27.74</v>
      </c>
      <c r="X799">
        <v>75.31</v>
      </c>
      <c r="Y799">
        <v>74.92</v>
      </c>
    </row>
    <row r="800" spans="1:25" x14ac:dyDescent="0.3">
      <c r="A800" t="s">
        <v>306</v>
      </c>
      <c r="B800" t="str">
        <f t="shared" si="12"/>
        <v>May</v>
      </c>
      <c r="C800" t="s">
        <v>78</v>
      </c>
      <c r="D800" t="s">
        <v>79</v>
      </c>
      <c r="E800">
        <v>492249810946.33002</v>
      </c>
      <c r="F800">
        <v>39901.31</v>
      </c>
      <c r="G800">
        <v>9831530844.2600002</v>
      </c>
      <c r="H800">
        <v>9183691</v>
      </c>
      <c r="I800">
        <v>12129220</v>
      </c>
      <c r="J800">
        <v>13053595</v>
      </c>
      <c r="K800">
        <v>20.440000000000001</v>
      </c>
      <c r="L800">
        <v>-0.99</v>
      </c>
      <c r="M800">
        <v>3.06</v>
      </c>
      <c r="N800">
        <v>-7.9</v>
      </c>
      <c r="O800">
        <v>166</v>
      </c>
      <c r="P800" t="s">
        <v>27</v>
      </c>
      <c r="Q800" t="s">
        <v>34</v>
      </c>
      <c r="R800" t="s">
        <v>42</v>
      </c>
      <c r="S800">
        <v>2018</v>
      </c>
      <c r="T800" t="s">
        <v>36</v>
      </c>
      <c r="U800">
        <v>22174</v>
      </c>
      <c r="V800">
        <v>23.92</v>
      </c>
      <c r="W800">
        <v>67.680000000000007</v>
      </c>
      <c r="X800">
        <v>53.44</v>
      </c>
      <c r="Y800">
        <v>57.7</v>
      </c>
    </row>
    <row r="801" spans="1:25" x14ac:dyDescent="0.3">
      <c r="A801" t="s">
        <v>275</v>
      </c>
      <c r="B801" t="str">
        <f t="shared" si="12"/>
        <v>Dec</v>
      </c>
      <c r="C801" t="s">
        <v>38</v>
      </c>
      <c r="D801" t="s">
        <v>39</v>
      </c>
      <c r="E801">
        <v>21388610131.849998</v>
      </c>
      <c r="F801">
        <v>6847.79</v>
      </c>
      <c r="G801">
        <v>25862997729.970001</v>
      </c>
      <c r="H801">
        <v>8779498</v>
      </c>
      <c r="I801">
        <v>9017679</v>
      </c>
      <c r="J801">
        <v>9065077</v>
      </c>
      <c r="K801">
        <v>10.029999999999999</v>
      </c>
      <c r="L801">
        <v>0.38</v>
      </c>
      <c r="M801">
        <v>14.68</v>
      </c>
      <c r="N801">
        <v>11.13</v>
      </c>
      <c r="O801">
        <v>74</v>
      </c>
      <c r="P801" t="s">
        <v>46</v>
      </c>
      <c r="Q801" t="s">
        <v>47</v>
      </c>
      <c r="R801" t="s">
        <v>74</v>
      </c>
      <c r="S801">
        <v>2010</v>
      </c>
      <c r="T801" t="s">
        <v>36</v>
      </c>
      <c r="U801">
        <v>39309</v>
      </c>
      <c r="V801">
        <v>20.54</v>
      </c>
      <c r="W801">
        <v>43.36</v>
      </c>
      <c r="X801">
        <v>95.13</v>
      </c>
      <c r="Y801">
        <v>14.76</v>
      </c>
    </row>
    <row r="802" spans="1:25" x14ac:dyDescent="0.3">
      <c r="A802" t="s">
        <v>194</v>
      </c>
      <c r="B802" t="str">
        <f t="shared" si="12"/>
        <v>Oct</v>
      </c>
      <c r="C802" t="s">
        <v>90</v>
      </c>
      <c r="D802" t="s">
        <v>91</v>
      </c>
      <c r="E802">
        <v>772133825234.33997</v>
      </c>
      <c r="F802">
        <v>60313.91</v>
      </c>
      <c r="G802">
        <v>24152303199.919998</v>
      </c>
      <c r="H802">
        <v>17569962</v>
      </c>
      <c r="I802">
        <v>18573068</v>
      </c>
      <c r="J802">
        <v>19426240</v>
      </c>
      <c r="K802">
        <v>42.46</v>
      </c>
      <c r="L802">
        <v>-3.41</v>
      </c>
      <c r="M802">
        <v>-10.46</v>
      </c>
      <c r="N802">
        <v>-33.58</v>
      </c>
      <c r="O802">
        <v>92</v>
      </c>
      <c r="P802" t="s">
        <v>46</v>
      </c>
      <c r="Q802" t="s">
        <v>41</v>
      </c>
      <c r="R802" t="s">
        <v>29</v>
      </c>
      <c r="S802">
        <v>2016</v>
      </c>
      <c r="T802" t="s">
        <v>30</v>
      </c>
      <c r="U802">
        <v>34358</v>
      </c>
      <c r="V802">
        <v>58.65</v>
      </c>
      <c r="W802">
        <v>45.12</v>
      </c>
      <c r="X802">
        <v>23.92</v>
      </c>
      <c r="Y802">
        <v>83.47</v>
      </c>
    </row>
    <row r="803" spans="1:25" x14ac:dyDescent="0.3">
      <c r="A803" t="s">
        <v>165</v>
      </c>
      <c r="B803" t="str">
        <f t="shared" si="12"/>
        <v>Jul</v>
      </c>
      <c r="C803" t="s">
        <v>32</v>
      </c>
      <c r="D803" t="s">
        <v>33</v>
      </c>
      <c r="E803">
        <v>21531421675.130001</v>
      </c>
      <c r="F803">
        <v>57527.53</v>
      </c>
      <c r="G803">
        <v>18769806504.110001</v>
      </c>
      <c r="H803">
        <v>6291328</v>
      </c>
      <c r="I803">
        <v>9637687</v>
      </c>
      <c r="J803">
        <v>9853839</v>
      </c>
      <c r="K803">
        <v>10.56</v>
      </c>
      <c r="L803">
        <v>2.2599999999999998</v>
      </c>
      <c r="M803">
        <v>16.57</v>
      </c>
      <c r="N803">
        <v>19.440000000000001</v>
      </c>
      <c r="O803">
        <v>36</v>
      </c>
      <c r="P803" t="s">
        <v>27</v>
      </c>
      <c r="Q803" t="s">
        <v>57</v>
      </c>
      <c r="R803" t="s">
        <v>42</v>
      </c>
      <c r="S803">
        <v>2018</v>
      </c>
      <c r="T803" t="s">
        <v>36</v>
      </c>
      <c r="U803">
        <v>19250</v>
      </c>
      <c r="V803">
        <v>35.06</v>
      </c>
      <c r="W803">
        <v>46.86</v>
      </c>
      <c r="X803">
        <v>14.53</v>
      </c>
      <c r="Y803">
        <v>10.34</v>
      </c>
    </row>
    <row r="804" spans="1:25" x14ac:dyDescent="0.3">
      <c r="A804" t="s">
        <v>377</v>
      </c>
      <c r="B804" t="str">
        <f t="shared" si="12"/>
        <v>Feb</v>
      </c>
      <c r="C804" t="s">
        <v>55</v>
      </c>
      <c r="D804" t="s">
        <v>56</v>
      </c>
      <c r="E804">
        <v>513019231433.78003</v>
      </c>
      <c r="F804">
        <v>47252.82</v>
      </c>
      <c r="G804">
        <v>24831938456.509998</v>
      </c>
      <c r="H804">
        <v>18759165</v>
      </c>
      <c r="I804">
        <v>19187464</v>
      </c>
      <c r="J804">
        <v>19813465</v>
      </c>
      <c r="K804">
        <v>51.29</v>
      </c>
      <c r="L804">
        <v>-3.11</v>
      </c>
      <c r="M804">
        <v>-8.35</v>
      </c>
      <c r="N804">
        <v>31.78</v>
      </c>
      <c r="O804">
        <v>31</v>
      </c>
      <c r="P804" t="s">
        <v>27</v>
      </c>
      <c r="Q804" t="s">
        <v>28</v>
      </c>
      <c r="R804" t="s">
        <v>64</v>
      </c>
      <c r="S804">
        <v>2013</v>
      </c>
      <c r="T804" t="s">
        <v>58</v>
      </c>
      <c r="U804">
        <v>13219</v>
      </c>
      <c r="V804">
        <v>44.31</v>
      </c>
      <c r="W804">
        <v>58.11</v>
      </c>
      <c r="X804">
        <v>88.43</v>
      </c>
      <c r="Y804">
        <v>47.28</v>
      </c>
    </row>
    <row r="805" spans="1:25" x14ac:dyDescent="0.3">
      <c r="A805" t="s">
        <v>184</v>
      </c>
      <c r="B805" t="str">
        <f t="shared" si="12"/>
        <v>May</v>
      </c>
      <c r="C805" t="s">
        <v>49</v>
      </c>
      <c r="D805" t="s">
        <v>50</v>
      </c>
      <c r="E805">
        <v>213910073271.75</v>
      </c>
      <c r="F805">
        <v>36583.760000000002</v>
      </c>
      <c r="G805">
        <v>7474832883.6400003</v>
      </c>
      <c r="H805">
        <v>9372374</v>
      </c>
      <c r="I805">
        <v>13407477</v>
      </c>
      <c r="J805">
        <v>14371922</v>
      </c>
      <c r="K805">
        <v>6.58</v>
      </c>
      <c r="L805">
        <v>-1.79</v>
      </c>
      <c r="M805">
        <v>7.24</v>
      </c>
      <c r="N805">
        <v>-7.06</v>
      </c>
      <c r="O805">
        <v>102</v>
      </c>
      <c r="P805" t="s">
        <v>51</v>
      </c>
      <c r="Q805" t="s">
        <v>41</v>
      </c>
      <c r="R805" t="s">
        <v>74</v>
      </c>
      <c r="S805">
        <v>2022</v>
      </c>
      <c r="T805" t="s">
        <v>36</v>
      </c>
      <c r="U805">
        <v>26266</v>
      </c>
      <c r="V805">
        <v>50.78</v>
      </c>
      <c r="W805">
        <v>64.66</v>
      </c>
      <c r="X805">
        <v>30.38</v>
      </c>
      <c r="Y805">
        <v>44.09</v>
      </c>
    </row>
    <row r="806" spans="1:25" x14ac:dyDescent="0.3">
      <c r="A806" t="s">
        <v>148</v>
      </c>
      <c r="B806" t="str">
        <f t="shared" si="12"/>
        <v>Sep</v>
      </c>
      <c r="C806" t="s">
        <v>60</v>
      </c>
      <c r="D806" t="s">
        <v>61</v>
      </c>
      <c r="E806">
        <v>333983807070.82001</v>
      </c>
      <c r="F806">
        <v>5849.56</v>
      </c>
      <c r="G806">
        <v>39654726355.949997</v>
      </c>
      <c r="H806">
        <v>3739886</v>
      </c>
      <c r="I806">
        <v>4534378</v>
      </c>
      <c r="J806">
        <v>4996532</v>
      </c>
      <c r="K806">
        <v>27.59</v>
      </c>
      <c r="L806">
        <v>1.38</v>
      </c>
      <c r="M806">
        <v>10.45</v>
      </c>
      <c r="N806">
        <v>34.4</v>
      </c>
      <c r="O806">
        <v>180</v>
      </c>
      <c r="P806" t="s">
        <v>51</v>
      </c>
      <c r="Q806" t="s">
        <v>57</v>
      </c>
      <c r="R806" t="s">
        <v>29</v>
      </c>
      <c r="S806">
        <v>2012</v>
      </c>
      <c r="T806" t="s">
        <v>30</v>
      </c>
      <c r="U806">
        <v>20875</v>
      </c>
      <c r="V806">
        <v>67.59</v>
      </c>
      <c r="W806">
        <v>83.39</v>
      </c>
      <c r="X806">
        <v>40.11</v>
      </c>
      <c r="Y806">
        <v>59.67</v>
      </c>
    </row>
    <row r="807" spans="1:25" x14ac:dyDescent="0.3">
      <c r="A807" t="s">
        <v>210</v>
      </c>
      <c r="B807" t="str">
        <f t="shared" si="12"/>
        <v>Feb</v>
      </c>
      <c r="C807" t="s">
        <v>55</v>
      </c>
      <c r="D807" t="s">
        <v>56</v>
      </c>
      <c r="E807">
        <v>234067011179.14001</v>
      </c>
      <c r="F807">
        <v>40895.089999999997</v>
      </c>
      <c r="G807">
        <v>4853544810.21</v>
      </c>
      <c r="H807">
        <v>10807620</v>
      </c>
      <c r="I807">
        <v>15239114</v>
      </c>
      <c r="J807">
        <v>15554787</v>
      </c>
      <c r="K807">
        <v>52.22</v>
      </c>
      <c r="L807">
        <v>1.81</v>
      </c>
      <c r="M807">
        <v>8.02</v>
      </c>
      <c r="N807">
        <v>19.57</v>
      </c>
      <c r="O807">
        <v>71</v>
      </c>
      <c r="P807" t="s">
        <v>40</v>
      </c>
      <c r="Q807" t="s">
        <v>28</v>
      </c>
      <c r="R807" t="s">
        <v>29</v>
      </c>
      <c r="S807">
        <v>2016</v>
      </c>
      <c r="T807" t="s">
        <v>58</v>
      </c>
      <c r="U807">
        <v>55328</v>
      </c>
      <c r="V807">
        <v>52.29</v>
      </c>
      <c r="W807">
        <v>60.51</v>
      </c>
      <c r="X807">
        <v>78.349999999999994</v>
      </c>
      <c r="Y807">
        <v>33.28</v>
      </c>
    </row>
    <row r="808" spans="1:25" x14ac:dyDescent="0.3">
      <c r="A808" t="s">
        <v>193</v>
      </c>
      <c r="B808" t="str">
        <f t="shared" si="12"/>
        <v>Oct</v>
      </c>
      <c r="C808" t="s">
        <v>55</v>
      </c>
      <c r="D808" t="s">
        <v>56</v>
      </c>
      <c r="E808">
        <v>171303162284.76999</v>
      </c>
      <c r="F808">
        <v>54375.64</v>
      </c>
      <c r="G808">
        <v>26779711450.91</v>
      </c>
      <c r="H808">
        <v>10674756</v>
      </c>
      <c r="I808">
        <v>12335655</v>
      </c>
      <c r="J808">
        <v>13081835</v>
      </c>
      <c r="K808">
        <v>47.53</v>
      </c>
      <c r="L808">
        <v>-2.73</v>
      </c>
      <c r="M808">
        <v>-1.98</v>
      </c>
      <c r="N808">
        <v>-30.14</v>
      </c>
      <c r="O808">
        <v>30</v>
      </c>
      <c r="P808" t="s">
        <v>46</v>
      </c>
      <c r="Q808" t="s">
        <v>41</v>
      </c>
      <c r="R808" t="s">
        <v>42</v>
      </c>
      <c r="S808">
        <v>2010</v>
      </c>
      <c r="T808" t="s">
        <v>58</v>
      </c>
      <c r="U808">
        <v>49464</v>
      </c>
      <c r="V808">
        <v>88.58</v>
      </c>
      <c r="W808">
        <v>68.19</v>
      </c>
      <c r="X808">
        <v>26.66</v>
      </c>
      <c r="Y808">
        <v>27.03</v>
      </c>
    </row>
    <row r="809" spans="1:25" x14ac:dyDescent="0.3">
      <c r="A809" t="s">
        <v>400</v>
      </c>
      <c r="B809" t="str">
        <f t="shared" si="12"/>
        <v>Jan</v>
      </c>
      <c r="C809" t="s">
        <v>68</v>
      </c>
      <c r="D809" t="s">
        <v>69</v>
      </c>
      <c r="E809">
        <v>810196858251.39001</v>
      </c>
      <c r="F809">
        <v>3044.99</v>
      </c>
      <c r="G809">
        <v>16381366000.67</v>
      </c>
      <c r="H809">
        <v>8234946</v>
      </c>
      <c r="I809">
        <v>10559322</v>
      </c>
      <c r="J809">
        <v>11175884</v>
      </c>
      <c r="K809">
        <v>55.46</v>
      </c>
      <c r="L809">
        <v>-1.71</v>
      </c>
      <c r="M809">
        <v>-19.100000000000001</v>
      </c>
      <c r="N809">
        <v>-36.630000000000003</v>
      </c>
      <c r="O809">
        <v>100</v>
      </c>
      <c r="P809" t="s">
        <v>53</v>
      </c>
      <c r="Q809" t="s">
        <v>47</v>
      </c>
      <c r="R809" t="s">
        <v>35</v>
      </c>
      <c r="S809">
        <v>2019</v>
      </c>
      <c r="T809" t="s">
        <v>36</v>
      </c>
      <c r="U809">
        <v>39102</v>
      </c>
      <c r="V809">
        <v>41.35</v>
      </c>
      <c r="W809">
        <v>27.4</v>
      </c>
      <c r="X809">
        <v>84.6</v>
      </c>
      <c r="Y809">
        <v>38.549999999999997</v>
      </c>
    </row>
    <row r="810" spans="1:25" x14ac:dyDescent="0.3">
      <c r="A810" t="s">
        <v>401</v>
      </c>
      <c r="B810" t="str">
        <f t="shared" si="12"/>
        <v>Nov</v>
      </c>
      <c r="C810" t="s">
        <v>38</v>
      </c>
      <c r="D810" t="s">
        <v>39</v>
      </c>
      <c r="E810">
        <v>305222146802.96002</v>
      </c>
      <c r="F810">
        <v>61117.67</v>
      </c>
      <c r="G810">
        <v>46879172910.010002</v>
      </c>
      <c r="H810">
        <v>18727378</v>
      </c>
      <c r="I810">
        <v>22799927</v>
      </c>
      <c r="J810">
        <v>22835096</v>
      </c>
      <c r="K810">
        <v>28.7</v>
      </c>
      <c r="L810">
        <v>-4.9800000000000004</v>
      </c>
      <c r="M810">
        <v>3.88</v>
      </c>
      <c r="N810">
        <v>32.79</v>
      </c>
      <c r="O810">
        <v>94</v>
      </c>
      <c r="P810" t="s">
        <v>51</v>
      </c>
      <c r="Q810" t="s">
        <v>47</v>
      </c>
      <c r="R810" t="s">
        <v>42</v>
      </c>
      <c r="S810">
        <v>2019</v>
      </c>
      <c r="T810" t="s">
        <v>36</v>
      </c>
      <c r="U810">
        <v>39845</v>
      </c>
      <c r="V810">
        <v>50.72</v>
      </c>
      <c r="W810">
        <v>34.54</v>
      </c>
      <c r="X810">
        <v>48.26</v>
      </c>
      <c r="Y810">
        <v>58.45</v>
      </c>
    </row>
    <row r="811" spans="1:25" x14ac:dyDescent="0.3">
      <c r="A811" t="s">
        <v>351</v>
      </c>
      <c r="B811" t="str">
        <f t="shared" si="12"/>
        <v>May</v>
      </c>
      <c r="C811" t="s">
        <v>44</v>
      </c>
      <c r="D811" t="s">
        <v>45</v>
      </c>
      <c r="E811">
        <v>806615271321.68005</v>
      </c>
      <c r="F811">
        <v>30512.68</v>
      </c>
      <c r="G811">
        <v>33680358384.869999</v>
      </c>
      <c r="H811">
        <v>16780097</v>
      </c>
      <c r="I811">
        <v>21208363</v>
      </c>
      <c r="J811">
        <v>21816624</v>
      </c>
      <c r="K811">
        <v>4.75</v>
      </c>
      <c r="L811">
        <v>3.34</v>
      </c>
      <c r="M811">
        <v>-15.32</v>
      </c>
      <c r="N811">
        <v>-13.57</v>
      </c>
      <c r="O811">
        <v>148</v>
      </c>
      <c r="P811" t="s">
        <v>53</v>
      </c>
      <c r="Q811" t="s">
        <v>57</v>
      </c>
      <c r="R811" t="s">
        <v>35</v>
      </c>
      <c r="S811">
        <v>2018</v>
      </c>
      <c r="T811" t="s">
        <v>36</v>
      </c>
      <c r="U811">
        <v>10365</v>
      </c>
      <c r="V811">
        <v>52.23</v>
      </c>
      <c r="W811">
        <v>57.1</v>
      </c>
      <c r="X811">
        <v>22.87</v>
      </c>
      <c r="Y811">
        <v>97.62</v>
      </c>
    </row>
    <row r="812" spans="1:25" x14ac:dyDescent="0.3">
      <c r="A812" t="s">
        <v>70</v>
      </c>
      <c r="B812" t="str">
        <f t="shared" si="12"/>
        <v>Dec</v>
      </c>
      <c r="C812" t="s">
        <v>90</v>
      </c>
      <c r="D812" t="s">
        <v>91</v>
      </c>
      <c r="E812">
        <v>46096077823.209999</v>
      </c>
      <c r="F812">
        <v>60971.16</v>
      </c>
      <c r="G812">
        <v>26031801187.740002</v>
      </c>
      <c r="H812">
        <v>12869206</v>
      </c>
      <c r="I812">
        <v>15634828</v>
      </c>
      <c r="J812">
        <v>16371597</v>
      </c>
      <c r="K812">
        <v>25.24</v>
      </c>
      <c r="L812">
        <v>3.75</v>
      </c>
      <c r="M812">
        <v>-2.62</v>
      </c>
      <c r="N812">
        <v>-5.72</v>
      </c>
      <c r="O812">
        <v>104</v>
      </c>
      <c r="P812" t="s">
        <v>46</v>
      </c>
      <c r="Q812" t="s">
        <v>47</v>
      </c>
      <c r="R812" t="s">
        <v>42</v>
      </c>
      <c r="S812">
        <v>2010</v>
      </c>
      <c r="T812" t="s">
        <v>30</v>
      </c>
      <c r="U812">
        <v>52156</v>
      </c>
      <c r="V812">
        <v>40.76</v>
      </c>
      <c r="W812">
        <v>65.3</v>
      </c>
      <c r="X812">
        <v>86.88</v>
      </c>
      <c r="Y812">
        <v>99.58</v>
      </c>
    </row>
    <row r="813" spans="1:25" x14ac:dyDescent="0.3">
      <c r="A813" t="s">
        <v>300</v>
      </c>
      <c r="B813" t="str">
        <f t="shared" si="12"/>
        <v>Nov</v>
      </c>
      <c r="C813" t="s">
        <v>49</v>
      </c>
      <c r="D813" t="s">
        <v>50</v>
      </c>
      <c r="E813">
        <v>818690725840.79004</v>
      </c>
      <c r="F813">
        <v>3456.99</v>
      </c>
      <c r="G813">
        <v>18869215637.48</v>
      </c>
      <c r="H813">
        <v>17077416</v>
      </c>
      <c r="I813">
        <v>18377487</v>
      </c>
      <c r="J813">
        <v>18991645</v>
      </c>
      <c r="K813">
        <v>21.96</v>
      </c>
      <c r="L813">
        <v>1</v>
      </c>
      <c r="M813">
        <v>-7.94</v>
      </c>
      <c r="N813">
        <v>39.159999999999997</v>
      </c>
      <c r="O813">
        <v>159</v>
      </c>
      <c r="P813" t="s">
        <v>51</v>
      </c>
      <c r="Q813" t="s">
        <v>28</v>
      </c>
      <c r="R813" t="s">
        <v>29</v>
      </c>
      <c r="S813">
        <v>2020</v>
      </c>
      <c r="T813" t="s">
        <v>36</v>
      </c>
      <c r="U813">
        <v>57532</v>
      </c>
      <c r="V813">
        <v>72.06</v>
      </c>
      <c r="W813">
        <v>59.39</v>
      </c>
      <c r="X813">
        <v>25.33</v>
      </c>
      <c r="Y813">
        <v>49.69</v>
      </c>
    </row>
    <row r="814" spans="1:25" x14ac:dyDescent="0.3">
      <c r="A814" t="s">
        <v>255</v>
      </c>
      <c r="B814" t="str">
        <f t="shared" si="12"/>
        <v>Jun</v>
      </c>
      <c r="C814" t="s">
        <v>25</v>
      </c>
      <c r="D814" t="s">
        <v>26</v>
      </c>
      <c r="E814">
        <v>495420015448.46997</v>
      </c>
      <c r="F814">
        <v>53692.800000000003</v>
      </c>
      <c r="G814">
        <v>29528867912.919998</v>
      </c>
      <c r="H814">
        <v>1276219</v>
      </c>
      <c r="I814">
        <v>3291181</v>
      </c>
      <c r="J814">
        <v>3831406</v>
      </c>
      <c r="K814">
        <v>45.74</v>
      </c>
      <c r="L814">
        <v>-1.62</v>
      </c>
      <c r="M814">
        <v>-16.47</v>
      </c>
      <c r="N814">
        <v>-13.68</v>
      </c>
      <c r="O814">
        <v>97</v>
      </c>
      <c r="P814" t="s">
        <v>40</v>
      </c>
      <c r="Q814" t="s">
        <v>47</v>
      </c>
      <c r="R814" t="s">
        <v>42</v>
      </c>
      <c r="S814">
        <v>2015</v>
      </c>
      <c r="T814" t="s">
        <v>30</v>
      </c>
      <c r="U814">
        <v>54497</v>
      </c>
      <c r="V814">
        <v>28.05</v>
      </c>
      <c r="W814">
        <v>52.66</v>
      </c>
      <c r="X814">
        <v>62.68</v>
      </c>
      <c r="Y814">
        <v>31.05</v>
      </c>
    </row>
    <row r="815" spans="1:25" x14ac:dyDescent="0.3">
      <c r="A815" t="s">
        <v>132</v>
      </c>
      <c r="B815" t="str">
        <f t="shared" si="12"/>
        <v>Oct</v>
      </c>
      <c r="C815" t="s">
        <v>55</v>
      </c>
      <c r="D815" t="s">
        <v>56</v>
      </c>
      <c r="E815">
        <v>506471149137.97998</v>
      </c>
      <c r="F815">
        <v>19513.73</v>
      </c>
      <c r="G815">
        <v>31349059385.5</v>
      </c>
      <c r="H815">
        <v>6833957</v>
      </c>
      <c r="I815">
        <v>11088301</v>
      </c>
      <c r="J815">
        <v>11910933</v>
      </c>
      <c r="K815">
        <v>22.01</v>
      </c>
      <c r="L815">
        <v>3.53</v>
      </c>
      <c r="M815">
        <v>2.99</v>
      </c>
      <c r="N815">
        <v>-11.36</v>
      </c>
      <c r="O815">
        <v>136</v>
      </c>
      <c r="P815" t="s">
        <v>27</v>
      </c>
      <c r="Q815" t="s">
        <v>28</v>
      </c>
      <c r="R815" t="s">
        <v>42</v>
      </c>
      <c r="S815">
        <v>2023</v>
      </c>
      <c r="T815" t="s">
        <v>58</v>
      </c>
      <c r="U815">
        <v>51488</v>
      </c>
      <c r="V815">
        <v>33.770000000000003</v>
      </c>
      <c r="W815">
        <v>51.37</v>
      </c>
      <c r="X815">
        <v>65.08</v>
      </c>
      <c r="Y815">
        <v>62.94</v>
      </c>
    </row>
    <row r="816" spans="1:25" x14ac:dyDescent="0.3">
      <c r="A816" t="s">
        <v>340</v>
      </c>
      <c r="B816" t="str">
        <f t="shared" si="12"/>
        <v>Apr</v>
      </c>
      <c r="C816" t="s">
        <v>49</v>
      </c>
      <c r="D816" t="s">
        <v>50</v>
      </c>
      <c r="E816">
        <v>594357894878.46997</v>
      </c>
      <c r="F816">
        <v>65542.16</v>
      </c>
      <c r="G816">
        <v>48171362742.110001</v>
      </c>
      <c r="H816">
        <v>9441684</v>
      </c>
      <c r="I816">
        <v>10847206</v>
      </c>
      <c r="J816">
        <v>11530598</v>
      </c>
      <c r="K816">
        <v>13.22</v>
      </c>
      <c r="L816">
        <v>3.4</v>
      </c>
      <c r="M816">
        <v>-5</v>
      </c>
      <c r="N816">
        <v>-26.32</v>
      </c>
      <c r="O816">
        <v>42</v>
      </c>
      <c r="P816" t="s">
        <v>51</v>
      </c>
      <c r="Q816" t="s">
        <v>47</v>
      </c>
      <c r="R816" t="s">
        <v>74</v>
      </c>
      <c r="S816">
        <v>2017</v>
      </c>
      <c r="T816" t="s">
        <v>36</v>
      </c>
      <c r="U816">
        <v>59708</v>
      </c>
      <c r="V816">
        <v>24.33</v>
      </c>
      <c r="W816">
        <v>71.11</v>
      </c>
      <c r="X816">
        <v>39.33</v>
      </c>
      <c r="Y816">
        <v>43.25</v>
      </c>
    </row>
    <row r="817" spans="1:25" x14ac:dyDescent="0.3">
      <c r="A817" t="s">
        <v>207</v>
      </c>
      <c r="B817" t="str">
        <f t="shared" si="12"/>
        <v>Apr</v>
      </c>
      <c r="C817" t="s">
        <v>25</v>
      </c>
      <c r="D817" t="s">
        <v>26</v>
      </c>
      <c r="E817">
        <v>353155562938.25</v>
      </c>
      <c r="F817">
        <v>42860.22</v>
      </c>
      <c r="G817">
        <v>27761897968.650002</v>
      </c>
      <c r="H817">
        <v>11962838</v>
      </c>
      <c r="I817">
        <v>15430112</v>
      </c>
      <c r="J817">
        <v>15799498</v>
      </c>
      <c r="K817">
        <v>47.44</v>
      </c>
      <c r="L817">
        <v>4.63</v>
      </c>
      <c r="M817">
        <v>19.010000000000002</v>
      </c>
      <c r="N817">
        <v>-22.66</v>
      </c>
      <c r="O817">
        <v>21</v>
      </c>
      <c r="P817" t="s">
        <v>46</v>
      </c>
      <c r="Q817" t="s">
        <v>34</v>
      </c>
      <c r="R817" t="s">
        <v>35</v>
      </c>
      <c r="S817">
        <v>2023</v>
      </c>
      <c r="T817" t="s">
        <v>30</v>
      </c>
      <c r="U817">
        <v>26657</v>
      </c>
      <c r="V817">
        <v>34.26</v>
      </c>
      <c r="W817">
        <v>69.989999999999995</v>
      </c>
      <c r="X817">
        <v>56.25</v>
      </c>
      <c r="Y817">
        <v>65.67</v>
      </c>
    </row>
    <row r="818" spans="1:25" x14ac:dyDescent="0.3">
      <c r="A818" t="s">
        <v>354</v>
      </c>
      <c r="B818" t="str">
        <f t="shared" si="12"/>
        <v>Feb</v>
      </c>
      <c r="C818" t="s">
        <v>55</v>
      </c>
      <c r="D818" t="s">
        <v>56</v>
      </c>
      <c r="E818">
        <v>35657596176.129997</v>
      </c>
      <c r="F818">
        <v>65598.570000000007</v>
      </c>
      <c r="G818">
        <v>36426185677.940002</v>
      </c>
      <c r="H818">
        <v>5333347</v>
      </c>
      <c r="I818">
        <v>9096019</v>
      </c>
      <c r="J818">
        <v>9145059</v>
      </c>
      <c r="K818">
        <v>54.52</v>
      </c>
      <c r="L818">
        <v>4.16</v>
      </c>
      <c r="M818">
        <v>19.54</v>
      </c>
      <c r="N818">
        <v>-35.049999999999997</v>
      </c>
      <c r="O818">
        <v>170</v>
      </c>
      <c r="P818" t="s">
        <v>53</v>
      </c>
      <c r="Q818" t="s">
        <v>47</v>
      </c>
      <c r="R818" t="s">
        <v>74</v>
      </c>
      <c r="S818">
        <v>2021</v>
      </c>
      <c r="T818" t="s">
        <v>58</v>
      </c>
      <c r="U818">
        <v>33192</v>
      </c>
      <c r="V818">
        <v>92.27</v>
      </c>
      <c r="W818">
        <v>86.28</v>
      </c>
      <c r="X818">
        <v>22.28</v>
      </c>
      <c r="Y818">
        <v>13.84</v>
      </c>
    </row>
    <row r="819" spans="1:25" x14ac:dyDescent="0.3">
      <c r="A819" t="s">
        <v>269</v>
      </c>
      <c r="B819" t="str">
        <f t="shared" si="12"/>
        <v>Jul</v>
      </c>
      <c r="C819" t="s">
        <v>25</v>
      </c>
      <c r="D819" t="s">
        <v>26</v>
      </c>
      <c r="E819">
        <v>452411918751.23999</v>
      </c>
      <c r="F819">
        <v>26476.799999999999</v>
      </c>
      <c r="G819">
        <v>4995405653.1199999</v>
      </c>
      <c r="H819">
        <v>4782743</v>
      </c>
      <c r="I819">
        <v>6238981</v>
      </c>
      <c r="J819">
        <v>6552437</v>
      </c>
      <c r="K819">
        <v>5.32</v>
      </c>
      <c r="L819">
        <v>3.22</v>
      </c>
      <c r="M819">
        <v>-17.829999999999998</v>
      </c>
      <c r="N819">
        <v>7.75</v>
      </c>
      <c r="O819">
        <v>140</v>
      </c>
      <c r="P819" t="s">
        <v>46</v>
      </c>
      <c r="Q819" t="s">
        <v>28</v>
      </c>
      <c r="R819" t="s">
        <v>35</v>
      </c>
      <c r="S819">
        <v>2018</v>
      </c>
      <c r="T819" t="s">
        <v>30</v>
      </c>
      <c r="U819">
        <v>3864</v>
      </c>
      <c r="V819">
        <v>37.450000000000003</v>
      </c>
      <c r="W819">
        <v>31.32</v>
      </c>
      <c r="X819">
        <v>80.790000000000006</v>
      </c>
      <c r="Y819">
        <v>38.479999999999997</v>
      </c>
    </row>
    <row r="820" spans="1:25" x14ac:dyDescent="0.3">
      <c r="A820" t="s">
        <v>281</v>
      </c>
      <c r="B820" t="str">
        <f t="shared" si="12"/>
        <v>May</v>
      </c>
      <c r="C820" t="s">
        <v>49</v>
      </c>
      <c r="D820" t="s">
        <v>50</v>
      </c>
      <c r="E820">
        <v>112866587175.09</v>
      </c>
      <c r="F820">
        <v>34137.01</v>
      </c>
      <c r="G820">
        <v>44963378795.57</v>
      </c>
      <c r="H820">
        <v>1468434</v>
      </c>
      <c r="I820">
        <v>6368919</v>
      </c>
      <c r="J820">
        <v>7025338</v>
      </c>
      <c r="K820">
        <v>19.28</v>
      </c>
      <c r="L820">
        <v>0.03</v>
      </c>
      <c r="M820">
        <v>19.05</v>
      </c>
      <c r="N820">
        <v>1.05</v>
      </c>
      <c r="O820">
        <v>179</v>
      </c>
      <c r="P820" t="s">
        <v>51</v>
      </c>
      <c r="Q820" t="s">
        <v>34</v>
      </c>
      <c r="R820" t="s">
        <v>35</v>
      </c>
      <c r="S820">
        <v>2016</v>
      </c>
      <c r="T820" t="s">
        <v>36</v>
      </c>
      <c r="U820">
        <v>59168</v>
      </c>
      <c r="V820">
        <v>97.01</v>
      </c>
      <c r="W820">
        <v>87.49</v>
      </c>
      <c r="X820">
        <v>55.28</v>
      </c>
      <c r="Y820">
        <v>71.16</v>
      </c>
    </row>
    <row r="821" spans="1:25" x14ac:dyDescent="0.3">
      <c r="A821" t="s">
        <v>402</v>
      </c>
      <c r="B821" t="str">
        <f t="shared" si="12"/>
        <v>Apr</v>
      </c>
      <c r="C821" t="s">
        <v>60</v>
      </c>
      <c r="D821" t="s">
        <v>61</v>
      </c>
      <c r="E821">
        <v>505198623830.23999</v>
      </c>
      <c r="F821">
        <v>62937.15</v>
      </c>
      <c r="G821">
        <v>39233226650.389999</v>
      </c>
      <c r="H821">
        <v>13345245</v>
      </c>
      <c r="I821">
        <v>17008508</v>
      </c>
      <c r="J821">
        <v>17666104</v>
      </c>
      <c r="K821">
        <v>52.8</v>
      </c>
      <c r="L821">
        <v>2.77</v>
      </c>
      <c r="M821">
        <v>-1.78</v>
      </c>
      <c r="N821">
        <v>36.630000000000003</v>
      </c>
      <c r="O821">
        <v>157</v>
      </c>
      <c r="P821" t="s">
        <v>53</v>
      </c>
      <c r="Q821" t="s">
        <v>47</v>
      </c>
      <c r="R821" t="s">
        <v>29</v>
      </c>
      <c r="S821">
        <v>2021</v>
      </c>
      <c r="T821" t="s">
        <v>30</v>
      </c>
      <c r="U821">
        <v>43357</v>
      </c>
      <c r="V821">
        <v>58.3</v>
      </c>
      <c r="W821">
        <v>62.42</v>
      </c>
      <c r="X821">
        <v>78.290000000000006</v>
      </c>
      <c r="Y821">
        <v>56.08</v>
      </c>
    </row>
    <row r="822" spans="1:25" x14ac:dyDescent="0.3">
      <c r="A822" t="s">
        <v>343</v>
      </c>
      <c r="B822" t="str">
        <f t="shared" si="12"/>
        <v>Feb</v>
      </c>
      <c r="C822" t="s">
        <v>44</v>
      </c>
      <c r="D822" t="s">
        <v>45</v>
      </c>
      <c r="E822">
        <v>579732733899.27002</v>
      </c>
      <c r="F822">
        <v>2386.46</v>
      </c>
      <c r="G822">
        <v>8849219896.5699997</v>
      </c>
      <c r="H822">
        <v>17646467</v>
      </c>
      <c r="I822">
        <v>22191692</v>
      </c>
      <c r="J822">
        <v>23152423</v>
      </c>
      <c r="K822">
        <v>37.22</v>
      </c>
      <c r="L822">
        <v>1.47</v>
      </c>
      <c r="M822">
        <v>-18.02</v>
      </c>
      <c r="N822">
        <v>-20.14</v>
      </c>
      <c r="O822">
        <v>50</v>
      </c>
      <c r="P822" t="s">
        <v>40</v>
      </c>
      <c r="Q822" t="s">
        <v>41</v>
      </c>
      <c r="R822" t="s">
        <v>35</v>
      </c>
      <c r="S822">
        <v>2011</v>
      </c>
      <c r="T822" t="s">
        <v>36</v>
      </c>
      <c r="U822">
        <v>3802</v>
      </c>
      <c r="V822">
        <v>43.84</v>
      </c>
      <c r="W822">
        <v>99.61</v>
      </c>
      <c r="X822">
        <v>55.17</v>
      </c>
      <c r="Y822">
        <v>32.96</v>
      </c>
    </row>
    <row r="823" spans="1:25" x14ac:dyDescent="0.3">
      <c r="A823" t="s">
        <v>361</v>
      </c>
      <c r="B823" t="str">
        <f t="shared" si="12"/>
        <v>Jun</v>
      </c>
      <c r="C823" t="s">
        <v>90</v>
      </c>
      <c r="D823" t="s">
        <v>91</v>
      </c>
      <c r="E823">
        <v>133975327504.05</v>
      </c>
      <c r="F823">
        <v>65707.12</v>
      </c>
      <c r="G823">
        <v>5176098196.6899996</v>
      </c>
      <c r="H823">
        <v>13579933</v>
      </c>
      <c r="I823">
        <v>17652844</v>
      </c>
      <c r="J823">
        <v>18245610</v>
      </c>
      <c r="K823">
        <v>24.28</v>
      </c>
      <c r="L823">
        <v>3.79</v>
      </c>
      <c r="M823">
        <v>-12.09</v>
      </c>
      <c r="N823">
        <v>-39.57</v>
      </c>
      <c r="O823">
        <v>6</v>
      </c>
      <c r="P823" t="s">
        <v>51</v>
      </c>
      <c r="Q823" t="s">
        <v>57</v>
      </c>
      <c r="R823" t="s">
        <v>64</v>
      </c>
      <c r="S823">
        <v>2014</v>
      </c>
      <c r="T823" t="s">
        <v>30</v>
      </c>
      <c r="U823">
        <v>10766</v>
      </c>
      <c r="V823">
        <v>13.3</v>
      </c>
      <c r="W823">
        <v>82.3</v>
      </c>
      <c r="X823">
        <v>41.28</v>
      </c>
      <c r="Y823">
        <v>20.67</v>
      </c>
    </row>
    <row r="824" spans="1:25" x14ac:dyDescent="0.3">
      <c r="A824" t="s">
        <v>332</v>
      </c>
      <c r="B824" t="str">
        <f t="shared" si="12"/>
        <v>Aug</v>
      </c>
      <c r="C824" t="s">
        <v>38</v>
      </c>
      <c r="D824" t="s">
        <v>39</v>
      </c>
      <c r="E824">
        <v>500581290862.59998</v>
      </c>
      <c r="F824">
        <v>6960.01</v>
      </c>
      <c r="G824">
        <v>12698246973.889999</v>
      </c>
      <c r="H824">
        <v>6712487</v>
      </c>
      <c r="I824">
        <v>6991842</v>
      </c>
      <c r="J824">
        <v>7261284</v>
      </c>
      <c r="K824">
        <v>10.77</v>
      </c>
      <c r="L824">
        <v>2.89</v>
      </c>
      <c r="M824">
        <v>5.45</v>
      </c>
      <c r="N824">
        <v>39.64</v>
      </c>
      <c r="O824">
        <v>32</v>
      </c>
      <c r="P824" t="s">
        <v>53</v>
      </c>
      <c r="Q824" t="s">
        <v>41</v>
      </c>
      <c r="R824" t="s">
        <v>35</v>
      </c>
      <c r="S824">
        <v>2016</v>
      </c>
      <c r="T824" t="s">
        <v>36</v>
      </c>
      <c r="U824">
        <v>12867</v>
      </c>
      <c r="V824">
        <v>84.6</v>
      </c>
      <c r="W824">
        <v>47.04</v>
      </c>
      <c r="X824">
        <v>68.510000000000005</v>
      </c>
      <c r="Y824">
        <v>51.07</v>
      </c>
    </row>
    <row r="825" spans="1:25" x14ac:dyDescent="0.3">
      <c r="A825" t="s">
        <v>214</v>
      </c>
      <c r="B825" t="str">
        <f t="shared" si="12"/>
        <v>Aug</v>
      </c>
      <c r="C825" t="s">
        <v>44</v>
      </c>
      <c r="D825" t="s">
        <v>45</v>
      </c>
      <c r="E825">
        <v>123259697040.38</v>
      </c>
      <c r="F825">
        <v>63068.73</v>
      </c>
      <c r="G825">
        <v>2852590561.3400002</v>
      </c>
      <c r="H825">
        <v>14329609</v>
      </c>
      <c r="I825">
        <v>15795075</v>
      </c>
      <c r="J825">
        <v>16783621</v>
      </c>
      <c r="K825">
        <v>42.46</v>
      </c>
      <c r="L825">
        <v>4.24</v>
      </c>
      <c r="M825">
        <v>-5.4</v>
      </c>
      <c r="N825">
        <v>-26.33</v>
      </c>
      <c r="O825">
        <v>56</v>
      </c>
      <c r="P825" t="s">
        <v>51</v>
      </c>
      <c r="Q825" t="s">
        <v>34</v>
      </c>
      <c r="R825" t="s">
        <v>74</v>
      </c>
      <c r="S825">
        <v>2017</v>
      </c>
      <c r="T825" t="s">
        <v>36</v>
      </c>
      <c r="U825">
        <v>32344</v>
      </c>
      <c r="V825">
        <v>25.71</v>
      </c>
      <c r="W825">
        <v>51.08</v>
      </c>
      <c r="X825">
        <v>47.11</v>
      </c>
      <c r="Y825">
        <v>41.64</v>
      </c>
    </row>
    <row r="826" spans="1:25" x14ac:dyDescent="0.3">
      <c r="A826" t="s">
        <v>139</v>
      </c>
      <c r="B826" t="str">
        <f t="shared" si="12"/>
        <v>Jul</v>
      </c>
      <c r="C826" t="s">
        <v>38</v>
      </c>
      <c r="D826" t="s">
        <v>39</v>
      </c>
      <c r="E826">
        <v>504052812234.01001</v>
      </c>
      <c r="F826">
        <v>54431.4</v>
      </c>
      <c r="G826">
        <v>19784891409.619999</v>
      </c>
      <c r="H826">
        <v>12871843</v>
      </c>
      <c r="I826">
        <v>15360690</v>
      </c>
      <c r="J826">
        <v>15945213</v>
      </c>
      <c r="K826">
        <v>29.48</v>
      </c>
      <c r="L826">
        <v>0.63</v>
      </c>
      <c r="M826">
        <v>-0.92</v>
      </c>
      <c r="N826">
        <v>16.329999999999998</v>
      </c>
      <c r="O826">
        <v>138</v>
      </c>
      <c r="P826" t="s">
        <v>53</v>
      </c>
      <c r="Q826" t="s">
        <v>57</v>
      </c>
      <c r="R826" t="s">
        <v>35</v>
      </c>
      <c r="S826">
        <v>2012</v>
      </c>
      <c r="T826" t="s">
        <v>36</v>
      </c>
      <c r="U826">
        <v>19277</v>
      </c>
      <c r="V826">
        <v>24.56</v>
      </c>
      <c r="W826">
        <v>70.7</v>
      </c>
      <c r="X826">
        <v>68.819999999999993</v>
      </c>
      <c r="Y826">
        <v>19.899999999999999</v>
      </c>
    </row>
    <row r="827" spans="1:25" x14ac:dyDescent="0.3">
      <c r="A827" t="s">
        <v>105</v>
      </c>
      <c r="B827" t="str">
        <f t="shared" si="12"/>
        <v>Mar</v>
      </c>
      <c r="C827" t="s">
        <v>38</v>
      </c>
      <c r="D827" t="s">
        <v>39</v>
      </c>
      <c r="E827">
        <v>305024762717.56</v>
      </c>
      <c r="F827">
        <v>35755.129999999997</v>
      </c>
      <c r="G827">
        <v>3736648798.5700002</v>
      </c>
      <c r="H827">
        <v>1996073</v>
      </c>
      <c r="I827">
        <v>4880720</v>
      </c>
      <c r="J827">
        <v>5548327</v>
      </c>
      <c r="K827">
        <v>25.89</v>
      </c>
      <c r="L827">
        <v>3.59</v>
      </c>
      <c r="M827">
        <v>-7.8</v>
      </c>
      <c r="N827">
        <v>-18.899999999999999</v>
      </c>
      <c r="O827">
        <v>76</v>
      </c>
      <c r="P827" t="s">
        <v>40</v>
      </c>
      <c r="Q827" t="s">
        <v>41</v>
      </c>
      <c r="R827" t="s">
        <v>42</v>
      </c>
      <c r="S827">
        <v>2013</v>
      </c>
      <c r="T827" t="s">
        <v>36</v>
      </c>
      <c r="U827">
        <v>44174</v>
      </c>
      <c r="V827">
        <v>43.83</v>
      </c>
      <c r="W827">
        <v>39.86</v>
      </c>
      <c r="X827">
        <v>16.77</v>
      </c>
      <c r="Y827">
        <v>69.150000000000006</v>
      </c>
    </row>
    <row r="828" spans="1:25" x14ac:dyDescent="0.3">
      <c r="A828" t="s">
        <v>403</v>
      </c>
      <c r="B828" t="str">
        <f t="shared" si="12"/>
        <v>Nov</v>
      </c>
      <c r="C828" t="s">
        <v>90</v>
      </c>
      <c r="D828" t="s">
        <v>91</v>
      </c>
      <c r="E828">
        <v>42471674228.120003</v>
      </c>
      <c r="F828">
        <v>40789.17</v>
      </c>
      <c r="G828">
        <v>21740884457.639999</v>
      </c>
      <c r="H828">
        <v>12281666</v>
      </c>
      <c r="I828">
        <v>15761428</v>
      </c>
      <c r="J828">
        <v>16300646</v>
      </c>
      <c r="K828">
        <v>32.94</v>
      </c>
      <c r="L828">
        <v>4.53</v>
      </c>
      <c r="M828">
        <v>-14.32</v>
      </c>
      <c r="N828">
        <v>7.91</v>
      </c>
      <c r="O828">
        <v>94</v>
      </c>
      <c r="P828" t="s">
        <v>51</v>
      </c>
      <c r="Q828" t="s">
        <v>47</v>
      </c>
      <c r="R828" t="s">
        <v>42</v>
      </c>
      <c r="S828">
        <v>2012</v>
      </c>
      <c r="T828" t="s">
        <v>30</v>
      </c>
      <c r="U828">
        <v>32990</v>
      </c>
      <c r="V828">
        <v>96.65</v>
      </c>
      <c r="W828">
        <v>90.36</v>
      </c>
      <c r="X828">
        <v>34.619999999999997</v>
      </c>
      <c r="Y828">
        <v>69.42</v>
      </c>
    </row>
    <row r="829" spans="1:25" x14ac:dyDescent="0.3">
      <c r="A829" t="s">
        <v>84</v>
      </c>
      <c r="B829" t="str">
        <f t="shared" si="12"/>
        <v>Jul</v>
      </c>
      <c r="C829" t="s">
        <v>25</v>
      </c>
      <c r="D829" t="s">
        <v>26</v>
      </c>
      <c r="E829">
        <v>5729374936.4099998</v>
      </c>
      <c r="F829">
        <v>531.19000000000005</v>
      </c>
      <c r="G829">
        <v>45902959854.339996</v>
      </c>
      <c r="H829">
        <v>1173918</v>
      </c>
      <c r="I829">
        <v>1851481</v>
      </c>
      <c r="J829">
        <v>2240379</v>
      </c>
      <c r="K829">
        <v>43.47</v>
      </c>
      <c r="L829">
        <v>4.0199999999999996</v>
      </c>
      <c r="M829">
        <v>3.18</v>
      </c>
      <c r="N829">
        <v>-23.26</v>
      </c>
      <c r="O829">
        <v>75</v>
      </c>
      <c r="P829" t="s">
        <v>53</v>
      </c>
      <c r="Q829" t="s">
        <v>47</v>
      </c>
      <c r="R829" t="s">
        <v>29</v>
      </c>
      <c r="S829">
        <v>2016</v>
      </c>
      <c r="T829" t="s">
        <v>30</v>
      </c>
      <c r="U829">
        <v>43484</v>
      </c>
      <c r="V829">
        <v>90.22</v>
      </c>
      <c r="W829">
        <v>92.1</v>
      </c>
      <c r="X829">
        <v>10.11</v>
      </c>
      <c r="Y829">
        <v>48.65</v>
      </c>
    </row>
    <row r="830" spans="1:25" x14ac:dyDescent="0.3">
      <c r="A830" t="s">
        <v>228</v>
      </c>
      <c r="B830" t="str">
        <f t="shared" si="12"/>
        <v>Jan</v>
      </c>
      <c r="C830" t="s">
        <v>38</v>
      </c>
      <c r="D830" t="s">
        <v>39</v>
      </c>
      <c r="E830">
        <v>838960245344.90002</v>
      </c>
      <c r="F830">
        <v>61431.44</v>
      </c>
      <c r="G830">
        <v>30585156663.130001</v>
      </c>
      <c r="H830">
        <v>5953196</v>
      </c>
      <c r="I830">
        <v>6327522</v>
      </c>
      <c r="J830">
        <v>7110787</v>
      </c>
      <c r="K830">
        <v>12.45</v>
      </c>
      <c r="L830">
        <v>4.26</v>
      </c>
      <c r="M830">
        <v>-6.62</v>
      </c>
      <c r="N830">
        <v>-33.479999999999997</v>
      </c>
      <c r="O830">
        <v>97</v>
      </c>
      <c r="P830" t="s">
        <v>27</v>
      </c>
      <c r="Q830" t="s">
        <v>57</v>
      </c>
      <c r="R830" t="s">
        <v>74</v>
      </c>
      <c r="S830">
        <v>2021</v>
      </c>
      <c r="T830" t="s">
        <v>36</v>
      </c>
      <c r="U830">
        <v>2941</v>
      </c>
      <c r="V830">
        <v>95.59</v>
      </c>
      <c r="W830">
        <v>29.52</v>
      </c>
      <c r="X830">
        <v>87.08</v>
      </c>
      <c r="Y830">
        <v>89.6</v>
      </c>
    </row>
    <row r="831" spans="1:25" x14ac:dyDescent="0.3">
      <c r="A831" t="s">
        <v>154</v>
      </c>
      <c r="B831" t="str">
        <f t="shared" si="12"/>
        <v>Mar</v>
      </c>
      <c r="C831" t="s">
        <v>78</v>
      </c>
      <c r="D831" t="s">
        <v>79</v>
      </c>
      <c r="E831">
        <v>232479169846.20999</v>
      </c>
      <c r="F831">
        <v>56959.85</v>
      </c>
      <c r="G831">
        <v>11765342727.99</v>
      </c>
      <c r="H831">
        <v>14142682</v>
      </c>
      <c r="I831">
        <v>18215515</v>
      </c>
      <c r="J831">
        <v>18629035</v>
      </c>
      <c r="K831">
        <v>26.5</v>
      </c>
      <c r="L831">
        <v>3.27</v>
      </c>
      <c r="M831">
        <v>-19.739999999999998</v>
      </c>
      <c r="N831">
        <v>-14.39</v>
      </c>
      <c r="O831">
        <v>37</v>
      </c>
      <c r="P831" t="s">
        <v>27</v>
      </c>
      <c r="Q831" t="s">
        <v>34</v>
      </c>
      <c r="R831" t="s">
        <v>64</v>
      </c>
      <c r="S831">
        <v>2022</v>
      </c>
      <c r="T831" t="s">
        <v>36</v>
      </c>
      <c r="U831">
        <v>52070</v>
      </c>
      <c r="V831">
        <v>49.48</v>
      </c>
      <c r="W831">
        <v>51.72</v>
      </c>
      <c r="X831">
        <v>29.12</v>
      </c>
      <c r="Y831">
        <v>23.69</v>
      </c>
    </row>
    <row r="832" spans="1:25" x14ac:dyDescent="0.3">
      <c r="A832" t="s">
        <v>359</v>
      </c>
      <c r="B832" t="str">
        <f t="shared" si="12"/>
        <v>May</v>
      </c>
      <c r="C832" t="s">
        <v>38</v>
      </c>
      <c r="D832" t="s">
        <v>39</v>
      </c>
      <c r="E832">
        <v>422984497564.98999</v>
      </c>
      <c r="F832">
        <v>50975.06</v>
      </c>
      <c r="G832">
        <v>3087855468.3200002</v>
      </c>
      <c r="H832">
        <v>16628887</v>
      </c>
      <c r="I832">
        <v>18408522</v>
      </c>
      <c r="J832">
        <v>18668187</v>
      </c>
      <c r="K832">
        <v>59.6</v>
      </c>
      <c r="L832">
        <v>4.92</v>
      </c>
      <c r="M832">
        <v>14.93</v>
      </c>
      <c r="N832">
        <v>-29.42</v>
      </c>
      <c r="O832">
        <v>17</v>
      </c>
      <c r="P832" t="s">
        <v>46</v>
      </c>
      <c r="Q832" t="s">
        <v>28</v>
      </c>
      <c r="R832" t="s">
        <v>35</v>
      </c>
      <c r="S832">
        <v>2023</v>
      </c>
      <c r="T832" t="s">
        <v>36</v>
      </c>
      <c r="U832">
        <v>3785</v>
      </c>
      <c r="V832">
        <v>17.59</v>
      </c>
      <c r="W832">
        <v>51.79</v>
      </c>
      <c r="X832">
        <v>30.33</v>
      </c>
      <c r="Y832">
        <v>37.61</v>
      </c>
    </row>
    <row r="833" spans="1:25" x14ac:dyDescent="0.3">
      <c r="A833" t="s">
        <v>146</v>
      </c>
      <c r="B833" t="str">
        <f t="shared" si="12"/>
        <v>Jun</v>
      </c>
      <c r="C833" t="s">
        <v>44</v>
      </c>
      <c r="D833" t="s">
        <v>45</v>
      </c>
      <c r="E833">
        <v>540855530497.42999</v>
      </c>
      <c r="F833">
        <v>65103.64</v>
      </c>
      <c r="G833">
        <v>35252634356.849998</v>
      </c>
      <c r="H833">
        <v>6798160</v>
      </c>
      <c r="I833">
        <v>6918193</v>
      </c>
      <c r="J833">
        <v>7433058</v>
      </c>
      <c r="K833">
        <v>19.39</v>
      </c>
      <c r="L833">
        <v>-2.12</v>
      </c>
      <c r="M833">
        <v>2.73</v>
      </c>
      <c r="N833">
        <v>-14.97</v>
      </c>
      <c r="O833">
        <v>104</v>
      </c>
      <c r="P833" t="s">
        <v>40</v>
      </c>
      <c r="Q833" t="s">
        <v>41</v>
      </c>
      <c r="R833" t="s">
        <v>29</v>
      </c>
      <c r="S833">
        <v>2011</v>
      </c>
      <c r="T833" t="s">
        <v>36</v>
      </c>
      <c r="U833">
        <v>13301</v>
      </c>
      <c r="V833">
        <v>71.36</v>
      </c>
      <c r="W833">
        <v>45.26</v>
      </c>
      <c r="X833">
        <v>18.510000000000002</v>
      </c>
      <c r="Y833">
        <v>30.19</v>
      </c>
    </row>
    <row r="834" spans="1:25" x14ac:dyDescent="0.3">
      <c r="A834" t="s">
        <v>211</v>
      </c>
      <c r="B834" t="str">
        <f t="shared" ref="B834:B897" si="13">TEXT(A834,"MMM")</f>
        <v>Jan</v>
      </c>
      <c r="C834" t="s">
        <v>78</v>
      </c>
      <c r="D834" t="s">
        <v>79</v>
      </c>
      <c r="E834">
        <v>223518477445.89999</v>
      </c>
      <c r="F834">
        <v>43169.62</v>
      </c>
      <c r="G834">
        <v>46821483630.150002</v>
      </c>
      <c r="H834">
        <v>7537733</v>
      </c>
      <c r="I834">
        <v>8444304</v>
      </c>
      <c r="J834">
        <v>9382900</v>
      </c>
      <c r="K834">
        <v>49.13</v>
      </c>
      <c r="L834">
        <v>-1.1599999999999999</v>
      </c>
      <c r="M834">
        <v>5.31</v>
      </c>
      <c r="N834">
        <v>32.729999999999997</v>
      </c>
      <c r="O834">
        <v>28</v>
      </c>
      <c r="P834" t="s">
        <v>53</v>
      </c>
      <c r="Q834" t="s">
        <v>57</v>
      </c>
      <c r="R834" t="s">
        <v>35</v>
      </c>
      <c r="S834">
        <v>2019</v>
      </c>
      <c r="T834" t="s">
        <v>36</v>
      </c>
      <c r="U834">
        <v>58885</v>
      </c>
      <c r="V834">
        <v>94.42</v>
      </c>
      <c r="W834">
        <v>60.38</v>
      </c>
      <c r="X834">
        <v>76.09</v>
      </c>
      <c r="Y834">
        <v>46.83</v>
      </c>
    </row>
    <row r="835" spans="1:25" x14ac:dyDescent="0.3">
      <c r="A835" t="s">
        <v>189</v>
      </c>
      <c r="B835" t="str">
        <f t="shared" si="13"/>
        <v>Sep</v>
      </c>
      <c r="C835" t="s">
        <v>25</v>
      </c>
      <c r="D835" t="s">
        <v>26</v>
      </c>
      <c r="E835">
        <v>111833475631</v>
      </c>
      <c r="F835">
        <v>29269.67</v>
      </c>
      <c r="G835">
        <v>39695146353.620003</v>
      </c>
      <c r="H835">
        <v>7956079</v>
      </c>
      <c r="I835">
        <v>11168000</v>
      </c>
      <c r="J835">
        <v>11364778</v>
      </c>
      <c r="K835">
        <v>56.66</v>
      </c>
      <c r="L835">
        <v>3.42</v>
      </c>
      <c r="M835">
        <v>-5.13</v>
      </c>
      <c r="N835">
        <v>12.47</v>
      </c>
      <c r="O835">
        <v>140</v>
      </c>
      <c r="P835" t="s">
        <v>27</v>
      </c>
      <c r="Q835" t="s">
        <v>41</v>
      </c>
      <c r="R835" t="s">
        <v>74</v>
      </c>
      <c r="S835">
        <v>2020</v>
      </c>
      <c r="T835" t="s">
        <v>30</v>
      </c>
      <c r="U835">
        <v>33960</v>
      </c>
      <c r="V835">
        <v>67.48</v>
      </c>
      <c r="W835">
        <v>38.53</v>
      </c>
      <c r="X835">
        <v>87.51</v>
      </c>
      <c r="Y835">
        <v>71.900000000000006</v>
      </c>
    </row>
    <row r="836" spans="1:25" x14ac:dyDescent="0.3">
      <c r="A836" t="s">
        <v>288</v>
      </c>
      <c r="B836" t="str">
        <f t="shared" si="13"/>
        <v>Mar</v>
      </c>
      <c r="C836" t="s">
        <v>55</v>
      </c>
      <c r="D836" t="s">
        <v>56</v>
      </c>
      <c r="E836">
        <v>369163009117.21002</v>
      </c>
      <c r="F836">
        <v>6623.46</v>
      </c>
      <c r="G836">
        <v>14835207354.18</v>
      </c>
      <c r="H836">
        <v>1662111</v>
      </c>
      <c r="I836">
        <v>3752097</v>
      </c>
      <c r="J836">
        <v>4083612</v>
      </c>
      <c r="K836">
        <v>47.71</v>
      </c>
      <c r="L836">
        <v>-4.3499999999999996</v>
      </c>
      <c r="M836">
        <v>17.78</v>
      </c>
      <c r="N836">
        <v>11.54</v>
      </c>
      <c r="O836">
        <v>140</v>
      </c>
      <c r="P836" t="s">
        <v>53</v>
      </c>
      <c r="Q836" t="s">
        <v>28</v>
      </c>
      <c r="R836" t="s">
        <v>29</v>
      </c>
      <c r="S836">
        <v>2013</v>
      </c>
      <c r="T836" t="s">
        <v>58</v>
      </c>
      <c r="U836">
        <v>34784</v>
      </c>
      <c r="V836">
        <v>94.63</v>
      </c>
      <c r="W836">
        <v>80.88</v>
      </c>
      <c r="X836">
        <v>40.04</v>
      </c>
      <c r="Y836">
        <v>23.81</v>
      </c>
    </row>
    <row r="837" spans="1:25" x14ac:dyDescent="0.3">
      <c r="A837" t="s">
        <v>363</v>
      </c>
      <c r="B837" t="str">
        <f t="shared" si="13"/>
        <v>Apr</v>
      </c>
      <c r="C837" t="s">
        <v>44</v>
      </c>
      <c r="D837" t="s">
        <v>45</v>
      </c>
      <c r="E837">
        <v>13108831306.219999</v>
      </c>
      <c r="F837">
        <v>20634.82</v>
      </c>
      <c r="G837">
        <v>43825238360.330002</v>
      </c>
      <c r="H837">
        <v>10107904</v>
      </c>
      <c r="I837">
        <v>12240688</v>
      </c>
      <c r="J837">
        <v>12665607</v>
      </c>
      <c r="K837">
        <v>17.920000000000002</v>
      </c>
      <c r="L837">
        <v>-3</v>
      </c>
      <c r="M837">
        <v>-19.09</v>
      </c>
      <c r="N837">
        <v>-10.46</v>
      </c>
      <c r="O837">
        <v>62</v>
      </c>
      <c r="P837" t="s">
        <v>51</v>
      </c>
      <c r="Q837" t="s">
        <v>41</v>
      </c>
      <c r="R837" t="s">
        <v>35</v>
      </c>
      <c r="S837">
        <v>2018</v>
      </c>
      <c r="T837" t="s">
        <v>36</v>
      </c>
      <c r="U837">
        <v>8391</v>
      </c>
      <c r="V837">
        <v>97.35</v>
      </c>
      <c r="W837">
        <v>27.86</v>
      </c>
      <c r="X837">
        <v>13.6</v>
      </c>
      <c r="Y837">
        <v>20.18</v>
      </c>
    </row>
    <row r="838" spans="1:25" x14ac:dyDescent="0.3">
      <c r="A838" t="s">
        <v>225</v>
      </c>
      <c r="B838" t="str">
        <f t="shared" si="13"/>
        <v>Sep</v>
      </c>
      <c r="C838" t="s">
        <v>25</v>
      </c>
      <c r="D838" t="s">
        <v>26</v>
      </c>
      <c r="E838">
        <v>690548610376.04004</v>
      </c>
      <c r="F838">
        <v>34582.449999999997</v>
      </c>
      <c r="G838">
        <v>8813848541.9400005</v>
      </c>
      <c r="H838">
        <v>9805462</v>
      </c>
      <c r="I838">
        <v>13887261</v>
      </c>
      <c r="J838">
        <v>14367662</v>
      </c>
      <c r="K838">
        <v>16.25</v>
      </c>
      <c r="L838">
        <v>3.98</v>
      </c>
      <c r="M838">
        <v>8.07</v>
      </c>
      <c r="N838">
        <v>36.9</v>
      </c>
      <c r="O838">
        <v>152</v>
      </c>
      <c r="P838" t="s">
        <v>27</v>
      </c>
      <c r="Q838" t="s">
        <v>57</v>
      </c>
      <c r="R838" t="s">
        <v>74</v>
      </c>
      <c r="S838">
        <v>2022</v>
      </c>
      <c r="T838" t="s">
        <v>30</v>
      </c>
      <c r="U838">
        <v>28010</v>
      </c>
      <c r="V838">
        <v>53.47</v>
      </c>
      <c r="W838">
        <v>20.22</v>
      </c>
      <c r="X838">
        <v>90.77</v>
      </c>
      <c r="Y838">
        <v>59.95</v>
      </c>
    </row>
    <row r="839" spans="1:25" x14ac:dyDescent="0.3">
      <c r="A839" t="s">
        <v>404</v>
      </c>
      <c r="B839" t="str">
        <f t="shared" si="13"/>
        <v>Jul</v>
      </c>
      <c r="C839" t="s">
        <v>32</v>
      </c>
      <c r="D839" t="s">
        <v>33</v>
      </c>
      <c r="E839">
        <v>641702300343.53003</v>
      </c>
      <c r="F839">
        <v>53825.86</v>
      </c>
      <c r="G839">
        <v>39016983297.910004</v>
      </c>
      <c r="H839">
        <v>5427747</v>
      </c>
      <c r="I839">
        <v>8615739</v>
      </c>
      <c r="J839">
        <v>9162596</v>
      </c>
      <c r="K839">
        <v>28.58</v>
      </c>
      <c r="L839">
        <v>3.3</v>
      </c>
      <c r="M839">
        <v>15.75</v>
      </c>
      <c r="N839">
        <v>-7.22</v>
      </c>
      <c r="O839">
        <v>190</v>
      </c>
      <c r="P839" t="s">
        <v>46</v>
      </c>
      <c r="Q839" t="s">
        <v>57</v>
      </c>
      <c r="R839" t="s">
        <v>42</v>
      </c>
      <c r="S839">
        <v>2016</v>
      </c>
      <c r="T839" t="s">
        <v>36</v>
      </c>
      <c r="U839">
        <v>17240</v>
      </c>
      <c r="V839">
        <v>19.7</v>
      </c>
      <c r="W839">
        <v>49.54</v>
      </c>
      <c r="X839">
        <v>93.52</v>
      </c>
      <c r="Y839">
        <v>77.25</v>
      </c>
    </row>
    <row r="840" spans="1:25" x14ac:dyDescent="0.3">
      <c r="A840" t="s">
        <v>103</v>
      </c>
      <c r="B840" t="str">
        <f t="shared" si="13"/>
        <v>Dec</v>
      </c>
      <c r="C840" t="s">
        <v>49</v>
      </c>
      <c r="D840" t="s">
        <v>50</v>
      </c>
      <c r="E840">
        <v>592676344753.63</v>
      </c>
      <c r="F840">
        <v>54889.58</v>
      </c>
      <c r="G840">
        <v>28902854511.470001</v>
      </c>
      <c r="H840">
        <v>11586694</v>
      </c>
      <c r="I840">
        <v>13460114</v>
      </c>
      <c r="J840">
        <v>14066162</v>
      </c>
      <c r="K840">
        <v>1.4</v>
      </c>
      <c r="L840">
        <v>3.96</v>
      </c>
      <c r="M840">
        <v>-13.25</v>
      </c>
      <c r="N840">
        <v>-6.59</v>
      </c>
      <c r="O840">
        <v>9</v>
      </c>
      <c r="P840" t="s">
        <v>53</v>
      </c>
      <c r="Q840" t="s">
        <v>28</v>
      </c>
      <c r="R840" t="s">
        <v>74</v>
      </c>
      <c r="S840">
        <v>2012</v>
      </c>
      <c r="T840" t="s">
        <v>36</v>
      </c>
      <c r="U840">
        <v>17657</v>
      </c>
      <c r="V840">
        <v>84.8</v>
      </c>
      <c r="W840">
        <v>69.73</v>
      </c>
      <c r="X840">
        <v>20.56</v>
      </c>
      <c r="Y840">
        <v>79.2</v>
      </c>
    </row>
    <row r="841" spans="1:25" x14ac:dyDescent="0.3">
      <c r="A841" t="s">
        <v>405</v>
      </c>
      <c r="B841" t="str">
        <f t="shared" si="13"/>
        <v>Feb</v>
      </c>
      <c r="C841" t="s">
        <v>90</v>
      </c>
      <c r="D841" t="s">
        <v>91</v>
      </c>
      <c r="E841">
        <v>161825556801.57001</v>
      </c>
      <c r="F841">
        <v>65366.02</v>
      </c>
      <c r="G841">
        <v>28386489107.75</v>
      </c>
      <c r="H841">
        <v>18482006</v>
      </c>
      <c r="I841">
        <v>21534019</v>
      </c>
      <c r="J841">
        <v>22274110</v>
      </c>
      <c r="K841">
        <v>29.38</v>
      </c>
      <c r="L841">
        <v>-2.75</v>
      </c>
      <c r="M841">
        <v>-10.73</v>
      </c>
      <c r="N841">
        <v>-1.23</v>
      </c>
      <c r="O841">
        <v>25</v>
      </c>
      <c r="P841" t="s">
        <v>40</v>
      </c>
      <c r="Q841" t="s">
        <v>28</v>
      </c>
      <c r="R841" t="s">
        <v>29</v>
      </c>
      <c r="S841">
        <v>2012</v>
      </c>
      <c r="T841" t="s">
        <v>30</v>
      </c>
      <c r="U841">
        <v>16914</v>
      </c>
      <c r="V841">
        <v>19.73</v>
      </c>
      <c r="W841">
        <v>84.58</v>
      </c>
      <c r="X841">
        <v>61.24</v>
      </c>
      <c r="Y841">
        <v>58.79</v>
      </c>
    </row>
    <row r="842" spans="1:25" x14ac:dyDescent="0.3">
      <c r="A842" t="s">
        <v>329</v>
      </c>
      <c r="B842" t="str">
        <f t="shared" si="13"/>
        <v>Oct</v>
      </c>
      <c r="C842" t="s">
        <v>68</v>
      </c>
      <c r="D842" t="s">
        <v>69</v>
      </c>
      <c r="E842">
        <v>338358110978.39001</v>
      </c>
      <c r="F842">
        <v>68280.98</v>
      </c>
      <c r="G842">
        <v>42000408616.080002</v>
      </c>
      <c r="H842">
        <v>5919420</v>
      </c>
      <c r="I842">
        <v>5973068</v>
      </c>
      <c r="J842">
        <v>6743869</v>
      </c>
      <c r="K842">
        <v>46.74</v>
      </c>
      <c r="L842">
        <v>1.68</v>
      </c>
      <c r="M842">
        <v>-9.39</v>
      </c>
      <c r="N842">
        <v>-20.440000000000001</v>
      </c>
      <c r="O842">
        <v>136</v>
      </c>
      <c r="P842" t="s">
        <v>46</v>
      </c>
      <c r="Q842" t="s">
        <v>41</v>
      </c>
      <c r="R842" t="s">
        <v>74</v>
      </c>
      <c r="S842">
        <v>2014</v>
      </c>
      <c r="T842" t="s">
        <v>36</v>
      </c>
      <c r="U842">
        <v>41606</v>
      </c>
      <c r="V842">
        <v>88.88</v>
      </c>
      <c r="W842">
        <v>92.47</v>
      </c>
      <c r="X842">
        <v>39</v>
      </c>
      <c r="Y842">
        <v>94.67</v>
      </c>
    </row>
    <row r="843" spans="1:25" x14ac:dyDescent="0.3">
      <c r="A843" t="s">
        <v>342</v>
      </c>
      <c r="B843" t="str">
        <f t="shared" si="13"/>
        <v>Dec</v>
      </c>
      <c r="C843" t="s">
        <v>90</v>
      </c>
      <c r="D843" t="s">
        <v>91</v>
      </c>
      <c r="E843">
        <v>367710272104.16998</v>
      </c>
      <c r="F843">
        <v>54821.9</v>
      </c>
      <c r="G843">
        <v>18224346089.439999</v>
      </c>
      <c r="H843">
        <v>5033954</v>
      </c>
      <c r="I843">
        <v>7353699</v>
      </c>
      <c r="J843">
        <v>8187913</v>
      </c>
      <c r="K843">
        <v>42.49</v>
      </c>
      <c r="L843">
        <v>1.2</v>
      </c>
      <c r="M843">
        <v>-5.85</v>
      </c>
      <c r="N843">
        <v>-11.04</v>
      </c>
      <c r="O843">
        <v>50</v>
      </c>
      <c r="P843" t="s">
        <v>40</v>
      </c>
      <c r="Q843" t="s">
        <v>28</v>
      </c>
      <c r="R843" t="s">
        <v>29</v>
      </c>
      <c r="S843">
        <v>2018</v>
      </c>
      <c r="T843" t="s">
        <v>30</v>
      </c>
      <c r="U843">
        <v>53685</v>
      </c>
      <c r="V843">
        <v>40</v>
      </c>
      <c r="W843">
        <v>66.41</v>
      </c>
      <c r="X843">
        <v>19.510000000000002</v>
      </c>
      <c r="Y843">
        <v>60.94</v>
      </c>
    </row>
    <row r="844" spans="1:25" x14ac:dyDescent="0.3">
      <c r="A844" t="s">
        <v>202</v>
      </c>
      <c r="B844" t="str">
        <f t="shared" si="13"/>
        <v>Aug</v>
      </c>
      <c r="C844" t="s">
        <v>55</v>
      </c>
      <c r="D844" t="s">
        <v>56</v>
      </c>
      <c r="E844">
        <v>897668121703.96997</v>
      </c>
      <c r="F844">
        <v>12308.59</v>
      </c>
      <c r="G844">
        <v>29215030140.16</v>
      </c>
      <c r="H844">
        <v>14251388</v>
      </c>
      <c r="I844">
        <v>17799816</v>
      </c>
      <c r="J844">
        <v>18120965</v>
      </c>
      <c r="K844">
        <v>43.5</v>
      </c>
      <c r="L844">
        <v>0.66</v>
      </c>
      <c r="M844">
        <v>-19.690000000000001</v>
      </c>
      <c r="N844">
        <v>4.8099999999999996</v>
      </c>
      <c r="O844">
        <v>59</v>
      </c>
      <c r="P844" t="s">
        <v>51</v>
      </c>
      <c r="Q844" t="s">
        <v>47</v>
      </c>
      <c r="R844" t="s">
        <v>29</v>
      </c>
      <c r="S844">
        <v>2020</v>
      </c>
      <c r="T844" t="s">
        <v>58</v>
      </c>
      <c r="U844">
        <v>32986</v>
      </c>
      <c r="V844">
        <v>43.31</v>
      </c>
      <c r="W844">
        <v>39.08</v>
      </c>
      <c r="X844">
        <v>51.98</v>
      </c>
      <c r="Y844">
        <v>45.88</v>
      </c>
    </row>
    <row r="845" spans="1:25" x14ac:dyDescent="0.3">
      <c r="A845" t="s">
        <v>340</v>
      </c>
      <c r="B845" t="str">
        <f t="shared" si="13"/>
        <v>Apr</v>
      </c>
      <c r="C845" t="s">
        <v>68</v>
      </c>
      <c r="D845" t="s">
        <v>69</v>
      </c>
      <c r="E845">
        <v>308481680585.72998</v>
      </c>
      <c r="F845">
        <v>17284.7</v>
      </c>
      <c r="G845">
        <v>30233449497</v>
      </c>
      <c r="H845">
        <v>18619396</v>
      </c>
      <c r="I845">
        <v>22060310</v>
      </c>
      <c r="J845">
        <v>22822271</v>
      </c>
      <c r="K845">
        <v>38.24</v>
      </c>
      <c r="L845">
        <v>-3.14</v>
      </c>
      <c r="M845">
        <v>8.43</v>
      </c>
      <c r="N845">
        <v>-23.9</v>
      </c>
      <c r="O845">
        <v>185</v>
      </c>
      <c r="P845" t="s">
        <v>40</v>
      </c>
      <c r="Q845" t="s">
        <v>34</v>
      </c>
      <c r="R845" t="s">
        <v>42</v>
      </c>
      <c r="S845">
        <v>2017</v>
      </c>
      <c r="T845" t="s">
        <v>36</v>
      </c>
      <c r="U845">
        <v>58734</v>
      </c>
      <c r="V845">
        <v>91.1</v>
      </c>
      <c r="W845">
        <v>53.61</v>
      </c>
      <c r="X845">
        <v>21.75</v>
      </c>
      <c r="Y845">
        <v>90.48</v>
      </c>
    </row>
    <row r="846" spans="1:25" x14ac:dyDescent="0.3">
      <c r="A846" t="s">
        <v>150</v>
      </c>
      <c r="B846" t="str">
        <f t="shared" si="13"/>
        <v>Aug</v>
      </c>
      <c r="C846" t="s">
        <v>49</v>
      </c>
      <c r="D846" t="s">
        <v>50</v>
      </c>
      <c r="E846">
        <v>693964759248.56006</v>
      </c>
      <c r="F846">
        <v>53494.98</v>
      </c>
      <c r="G846">
        <v>17320750353.689999</v>
      </c>
      <c r="H846">
        <v>12289593</v>
      </c>
      <c r="I846">
        <v>12394844</v>
      </c>
      <c r="J846">
        <v>12898047</v>
      </c>
      <c r="K846">
        <v>21.67</v>
      </c>
      <c r="L846">
        <v>-1.68</v>
      </c>
      <c r="M846">
        <v>8.2100000000000009</v>
      </c>
      <c r="N846">
        <v>12.82</v>
      </c>
      <c r="O846">
        <v>150</v>
      </c>
      <c r="P846" t="s">
        <v>40</v>
      </c>
      <c r="Q846" t="s">
        <v>28</v>
      </c>
      <c r="R846" t="s">
        <v>35</v>
      </c>
      <c r="S846">
        <v>2014</v>
      </c>
      <c r="T846" t="s">
        <v>36</v>
      </c>
      <c r="U846">
        <v>49548</v>
      </c>
      <c r="V846">
        <v>79.040000000000006</v>
      </c>
      <c r="W846">
        <v>62.61</v>
      </c>
      <c r="X846">
        <v>37.71</v>
      </c>
      <c r="Y846">
        <v>65.61</v>
      </c>
    </row>
    <row r="847" spans="1:25" x14ac:dyDescent="0.3">
      <c r="A847" t="s">
        <v>406</v>
      </c>
      <c r="B847" t="str">
        <f t="shared" si="13"/>
        <v>Mar</v>
      </c>
      <c r="C847" t="s">
        <v>68</v>
      </c>
      <c r="D847" t="s">
        <v>69</v>
      </c>
      <c r="E847">
        <v>720777937524</v>
      </c>
      <c r="F847">
        <v>2406.94</v>
      </c>
      <c r="G847">
        <v>22877504691.720001</v>
      </c>
      <c r="H847">
        <v>12601661</v>
      </c>
      <c r="I847">
        <v>17531757</v>
      </c>
      <c r="J847">
        <v>17883814</v>
      </c>
      <c r="K847">
        <v>51.72</v>
      </c>
      <c r="L847">
        <v>3.67</v>
      </c>
      <c r="M847">
        <v>-1.91</v>
      </c>
      <c r="N847">
        <v>25.6</v>
      </c>
      <c r="O847">
        <v>64</v>
      </c>
      <c r="P847" t="s">
        <v>53</v>
      </c>
      <c r="Q847" t="s">
        <v>47</v>
      </c>
      <c r="R847" t="s">
        <v>42</v>
      </c>
      <c r="S847">
        <v>2023</v>
      </c>
      <c r="T847" t="s">
        <v>36</v>
      </c>
      <c r="U847">
        <v>32659</v>
      </c>
      <c r="V847">
        <v>68.27</v>
      </c>
      <c r="W847">
        <v>95.81</v>
      </c>
      <c r="X847">
        <v>77.41</v>
      </c>
      <c r="Y847">
        <v>80.02</v>
      </c>
    </row>
    <row r="848" spans="1:25" x14ac:dyDescent="0.3">
      <c r="A848" t="s">
        <v>130</v>
      </c>
      <c r="B848" t="str">
        <f t="shared" si="13"/>
        <v>May</v>
      </c>
      <c r="C848" t="s">
        <v>49</v>
      </c>
      <c r="D848" t="s">
        <v>50</v>
      </c>
      <c r="E848">
        <v>403935937752.40002</v>
      </c>
      <c r="F848">
        <v>18389.189999999999</v>
      </c>
      <c r="G848">
        <v>20783008872.619999</v>
      </c>
      <c r="H848">
        <v>7843578</v>
      </c>
      <c r="I848">
        <v>8573393</v>
      </c>
      <c r="J848">
        <v>9040991</v>
      </c>
      <c r="K848">
        <v>55.04</v>
      </c>
      <c r="L848">
        <v>-3.38</v>
      </c>
      <c r="M848">
        <v>-9.41</v>
      </c>
      <c r="N848">
        <v>16.170000000000002</v>
      </c>
      <c r="O848">
        <v>96</v>
      </c>
      <c r="P848" t="s">
        <v>40</v>
      </c>
      <c r="Q848" t="s">
        <v>47</v>
      </c>
      <c r="R848" t="s">
        <v>74</v>
      </c>
      <c r="S848">
        <v>2010</v>
      </c>
      <c r="T848" t="s">
        <v>36</v>
      </c>
      <c r="U848">
        <v>14602</v>
      </c>
      <c r="V848">
        <v>33.08</v>
      </c>
      <c r="W848">
        <v>64.260000000000005</v>
      </c>
      <c r="X848">
        <v>48.64</v>
      </c>
      <c r="Y848">
        <v>44.56</v>
      </c>
    </row>
    <row r="849" spans="1:25" x14ac:dyDescent="0.3">
      <c r="A849" t="s">
        <v>336</v>
      </c>
      <c r="B849" t="str">
        <f t="shared" si="13"/>
        <v>Oct</v>
      </c>
      <c r="C849" t="s">
        <v>68</v>
      </c>
      <c r="D849" t="s">
        <v>69</v>
      </c>
      <c r="E849">
        <v>620792895933.73999</v>
      </c>
      <c r="F849">
        <v>47492.18</v>
      </c>
      <c r="G849">
        <v>13829459911.530001</v>
      </c>
      <c r="H849">
        <v>2733269</v>
      </c>
      <c r="I849">
        <v>3196439</v>
      </c>
      <c r="J849">
        <v>4170183</v>
      </c>
      <c r="K849">
        <v>20.62</v>
      </c>
      <c r="L849">
        <v>2.5499999999999998</v>
      </c>
      <c r="M849">
        <v>-1.47</v>
      </c>
      <c r="N849">
        <v>-16.21</v>
      </c>
      <c r="O849">
        <v>42</v>
      </c>
      <c r="P849" t="s">
        <v>51</v>
      </c>
      <c r="Q849" t="s">
        <v>28</v>
      </c>
      <c r="R849" t="s">
        <v>29</v>
      </c>
      <c r="S849">
        <v>2014</v>
      </c>
      <c r="T849" t="s">
        <v>36</v>
      </c>
      <c r="U849">
        <v>60634</v>
      </c>
      <c r="V849">
        <v>28.1</v>
      </c>
      <c r="W849">
        <v>93.72</v>
      </c>
      <c r="X849">
        <v>64.94</v>
      </c>
      <c r="Y849">
        <v>77.959999999999994</v>
      </c>
    </row>
    <row r="850" spans="1:25" x14ac:dyDescent="0.3">
      <c r="A850" t="s">
        <v>194</v>
      </c>
      <c r="B850" t="str">
        <f t="shared" si="13"/>
        <v>Oct</v>
      </c>
      <c r="C850" t="s">
        <v>44</v>
      </c>
      <c r="D850" t="s">
        <v>45</v>
      </c>
      <c r="E850">
        <v>668035284508.59998</v>
      </c>
      <c r="F850">
        <v>54986.49</v>
      </c>
      <c r="G850">
        <v>36582129379.550003</v>
      </c>
      <c r="H850">
        <v>16972637</v>
      </c>
      <c r="I850">
        <v>20190516</v>
      </c>
      <c r="J850">
        <v>20717912</v>
      </c>
      <c r="K850">
        <v>5.48</v>
      </c>
      <c r="L850">
        <v>3.38</v>
      </c>
      <c r="M850">
        <v>2.29</v>
      </c>
      <c r="N850">
        <v>-28.46</v>
      </c>
      <c r="O850">
        <v>164</v>
      </c>
      <c r="P850" t="s">
        <v>53</v>
      </c>
      <c r="Q850" t="s">
        <v>41</v>
      </c>
      <c r="R850" t="s">
        <v>74</v>
      </c>
      <c r="S850">
        <v>2013</v>
      </c>
      <c r="T850" t="s">
        <v>36</v>
      </c>
      <c r="U850">
        <v>41901</v>
      </c>
      <c r="V850">
        <v>56.57</v>
      </c>
      <c r="W850">
        <v>94.06</v>
      </c>
      <c r="X850">
        <v>20.82</v>
      </c>
      <c r="Y850">
        <v>92.21</v>
      </c>
    </row>
    <row r="851" spans="1:25" x14ac:dyDescent="0.3">
      <c r="A851" t="s">
        <v>154</v>
      </c>
      <c r="B851" t="str">
        <f t="shared" si="13"/>
        <v>Mar</v>
      </c>
      <c r="C851" t="s">
        <v>25</v>
      </c>
      <c r="D851" t="s">
        <v>26</v>
      </c>
      <c r="E851">
        <v>193650437793.67001</v>
      </c>
      <c r="F851">
        <v>34043.360000000001</v>
      </c>
      <c r="G851">
        <v>39988542177.889999</v>
      </c>
      <c r="H851">
        <v>13415842</v>
      </c>
      <c r="I851">
        <v>14057054</v>
      </c>
      <c r="J851">
        <v>14973914</v>
      </c>
      <c r="K851">
        <v>21.7</v>
      </c>
      <c r="L851">
        <v>0.89</v>
      </c>
      <c r="M851">
        <v>9.5500000000000007</v>
      </c>
      <c r="N851">
        <v>12.13</v>
      </c>
      <c r="O851">
        <v>78</v>
      </c>
      <c r="P851" t="s">
        <v>27</v>
      </c>
      <c r="Q851" t="s">
        <v>47</v>
      </c>
      <c r="R851" t="s">
        <v>74</v>
      </c>
      <c r="S851">
        <v>2019</v>
      </c>
      <c r="T851" t="s">
        <v>30</v>
      </c>
      <c r="U851">
        <v>28124</v>
      </c>
      <c r="V851">
        <v>70.84</v>
      </c>
      <c r="W851">
        <v>52.61</v>
      </c>
      <c r="X851">
        <v>61.74</v>
      </c>
      <c r="Y851">
        <v>70.13</v>
      </c>
    </row>
    <row r="852" spans="1:25" x14ac:dyDescent="0.3">
      <c r="A852" t="s">
        <v>156</v>
      </c>
      <c r="B852" t="str">
        <f t="shared" si="13"/>
        <v>Feb</v>
      </c>
      <c r="C852" t="s">
        <v>55</v>
      </c>
      <c r="D852" t="s">
        <v>56</v>
      </c>
      <c r="E852">
        <v>696157724604.56006</v>
      </c>
      <c r="F852">
        <v>11485.38</v>
      </c>
      <c r="G852">
        <v>24863453202.060001</v>
      </c>
      <c r="H852">
        <v>17742591</v>
      </c>
      <c r="I852">
        <v>20284971</v>
      </c>
      <c r="J852">
        <v>20724446</v>
      </c>
      <c r="K852">
        <v>57.3</v>
      </c>
      <c r="L852">
        <v>4.8</v>
      </c>
      <c r="M852">
        <v>-11.88</v>
      </c>
      <c r="N852">
        <v>-38.01</v>
      </c>
      <c r="O852">
        <v>172</v>
      </c>
      <c r="P852" t="s">
        <v>40</v>
      </c>
      <c r="Q852" t="s">
        <v>41</v>
      </c>
      <c r="R852" t="s">
        <v>42</v>
      </c>
      <c r="S852">
        <v>2016</v>
      </c>
      <c r="T852" t="s">
        <v>58</v>
      </c>
      <c r="U852">
        <v>53669</v>
      </c>
      <c r="V852">
        <v>59.69</v>
      </c>
      <c r="W852">
        <v>27.5</v>
      </c>
      <c r="X852">
        <v>79.47</v>
      </c>
      <c r="Y852">
        <v>46.24</v>
      </c>
    </row>
    <row r="853" spans="1:25" x14ac:dyDescent="0.3">
      <c r="A853" t="s">
        <v>274</v>
      </c>
      <c r="B853" t="str">
        <f t="shared" si="13"/>
        <v>Jan</v>
      </c>
      <c r="C853" t="s">
        <v>78</v>
      </c>
      <c r="D853" t="s">
        <v>79</v>
      </c>
      <c r="E853">
        <v>602766715476.90002</v>
      </c>
      <c r="F853">
        <v>5568.58</v>
      </c>
      <c r="G853">
        <v>47954411560.809998</v>
      </c>
      <c r="H853">
        <v>5127414</v>
      </c>
      <c r="I853">
        <v>5493375</v>
      </c>
      <c r="J853">
        <v>6315387</v>
      </c>
      <c r="K853">
        <v>46.97</v>
      </c>
      <c r="L853">
        <v>-1.58</v>
      </c>
      <c r="M853">
        <v>10.54</v>
      </c>
      <c r="N853">
        <v>-33.5</v>
      </c>
      <c r="O853">
        <v>149</v>
      </c>
      <c r="P853" t="s">
        <v>46</v>
      </c>
      <c r="Q853" t="s">
        <v>28</v>
      </c>
      <c r="R853" t="s">
        <v>29</v>
      </c>
      <c r="S853">
        <v>2013</v>
      </c>
      <c r="T853" t="s">
        <v>36</v>
      </c>
      <c r="U853">
        <v>2606</v>
      </c>
      <c r="V853">
        <v>46.49</v>
      </c>
      <c r="W853">
        <v>74.58</v>
      </c>
      <c r="X853">
        <v>10.44</v>
      </c>
      <c r="Y853">
        <v>13.94</v>
      </c>
    </row>
    <row r="854" spans="1:25" x14ac:dyDescent="0.3">
      <c r="A854" t="s">
        <v>386</v>
      </c>
      <c r="B854" t="str">
        <f t="shared" si="13"/>
        <v>Aug</v>
      </c>
      <c r="C854" t="s">
        <v>44</v>
      </c>
      <c r="D854" t="s">
        <v>45</v>
      </c>
      <c r="E854">
        <v>363555136583.46002</v>
      </c>
      <c r="F854">
        <v>48730.22</v>
      </c>
      <c r="G854">
        <v>4558761819.4700003</v>
      </c>
      <c r="H854">
        <v>7103221</v>
      </c>
      <c r="I854">
        <v>9712698</v>
      </c>
      <c r="J854">
        <v>9749621</v>
      </c>
      <c r="K854">
        <v>19.989999999999998</v>
      </c>
      <c r="L854">
        <v>-3.42</v>
      </c>
      <c r="M854">
        <v>-1.84</v>
      </c>
      <c r="N854">
        <v>18.64</v>
      </c>
      <c r="O854">
        <v>193</v>
      </c>
      <c r="P854" t="s">
        <v>46</v>
      </c>
      <c r="Q854" t="s">
        <v>47</v>
      </c>
      <c r="R854" t="s">
        <v>74</v>
      </c>
      <c r="S854">
        <v>2018</v>
      </c>
      <c r="T854" t="s">
        <v>36</v>
      </c>
      <c r="U854">
        <v>38886</v>
      </c>
      <c r="V854">
        <v>65.45</v>
      </c>
      <c r="W854">
        <v>38.24</v>
      </c>
      <c r="X854">
        <v>34.56</v>
      </c>
      <c r="Y854">
        <v>45.63</v>
      </c>
    </row>
    <row r="855" spans="1:25" x14ac:dyDescent="0.3">
      <c r="A855" t="s">
        <v>407</v>
      </c>
      <c r="B855" t="str">
        <f t="shared" si="13"/>
        <v>Nov</v>
      </c>
      <c r="C855" t="s">
        <v>55</v>
      </c>
      <c r="D855" t="s">
        <v>56</v>
      </c>
      <c r="E855">
        <v>740855006483.94995</v>
      </c>
      <c r="F855">
        <v>68184.17</v>
      </c>
      <c r="G855">
        <v>35113312191.360001</v>
      </c>
      <c r="H855">
        <v>12336562</v>
      </c>
      <c r="I855">
        <v>16757028</v>
      </c>
      <c r="J855">
        <v>17089468</v>
      </c>
      <c r="K855">
        <v>18.649999999999999</v>
      </c>
      <c r="L855">
        <v>-0.32</v>
      </c>
      <c r="M855">
        <v>7.89</v>
      </c>
      <c r="N855">
        <v>4.28</v>
      </c>
      <c r="O855">
        <v>13</v>
      </c>
      <c r="P855" t="s">
        <v>51</v>
      </c>
      <c r="Q855" t="s">
        <v>34</v>
      </c>
      <c r="R855" t="s">
        <v>29</v>
      </c>
      <c r="S855">
        <v>2019</v>
      </c>
      <c r="T855" t="s">
        <v>58</v>
      </c>
      <c r="U855">
        <v>63827</v>
      </c>
      <c r="V855">
        <v>20.149999999999999</v>
      </c>
      <c r="W855">
        <v>87.19</v>
      </c>
      <c r="X855">
        <v>93.55</v>
      </c>
      <c r="Y855">
        <v>95.15</v>
      </c>
    </row>
    <row r="856" spans="1:25" x14ac:dyDescent="0.3">
      <c r="A856" t="s">
        <v>65</v>
      </c>
      <c r="B856" t="str">
        <f t="shared" si="13"/>
        <v>May</v>
      </c>
      <c r="C856" t="s">
        <v>78</v>
      </c>
      <c r="D856" t="s">
        <v>79</v>
      </c>
      <c r="E856">
        <v>414339851215.47998</v>
      </c>
      <c r="F856">
        <v>31097.86</v>
      </c>
      <c r="G856">
        <v>31269510935.759998</v>
      </c>
      <c r="H856">
        <v>4107394</v>
      </c>
      <c r="I856">
        <v>7679721</v>
      </c>
      <c r="J856">
        <v>8110684</v>
      </c>
      <c r="K856">
        <v>38.76</v>
      </c>
      <c r="L856">
        <v>0.62</v>
      </c>
      <c r="M856">
        <v>-2.98</v>
      </c>
      <c r="N856">
        <v>-18.14</v>
      </c>
      <c r="O856">
        <v>15</v>
      </c>
      <c r="P856" t="s">
        <v>27</v>
      </c>
      <c r="Q856" t="s">
        <v>47</v>
      </c>
      <c r="R856" t="s">
        <v>74</v>
      </c>
      <c r="S856">
        <v>2014</v>
      </c>
      <c r="T856" t="s">
        <v>36</v>
      </c>
      <c r="U856">
        <v>56388</v>
      </c>
      <c r="V856">
        <v>21.51</v>
      </c>
      <c r="W856">
        <v>23.16</v>
      </c>
      <c r="X856">
        <v>47.56</v>
      </c>
      <c r="Y856">
        <v>19.78</v>
      </c>
    </row>
    <row r="857" spans="1:25" x14ac:dyDescent="0.3">
      <c r="A857" t="s">
        <v>408</v>
      </c>
      <c r="B857" t="str">
        <f t="shared" si="13"/>
        <v>Sep</v>
      </c>
      <c r="C857" t="s">
        <v>38</v>
      </c>
      <c r="D857" t="s">
        <v>39</v>
      </c>
      <c r="E857">
        <v>491335867293.84003</v>
      </c>
      <c r="F857">
        <v>4031.07</v>
      </c>
      <c r="G857">
        <v>33565013468.970001</v>
      </c>
      <c r="H857">
        <v>18564349</v>
      </c>
      <c r="I857">
        <v>22054527</v>
      </c>
      <c r="J857">
        <v>22784690</v>
      </c>
      <c r="K857">
        <v>32.43</v>
      </c>
      <c r="L857">
        <v>0.33</v>
      </c>
      <c r="M857">
        <v>-11.05</v>
      </c>
      <c r="N857">
        <v>21.45</v>
      </c>
      <c r="O857">
        <v>166</v>
      </c>
      <c r="P857" t="s">
        <v>53</v>
      </c>
      <c r="Q857" t="s">
        <v>47</v>
      </c>
      <c r="R857" t="s">
        <v>35</v>
      </c>
      <c r="S857">
        <v>2016</v>
      </c>
      <c r="T857" t="s">
        <v>36</v>
      </c>
      <c r="U857">
        <v>48903</v>
      </c>
      <c r="V857">
        <v>28.57</v>
      </c>
      <c r="W857">
        <v>69.94</v>
      </c>
      <c r="X857">
        <v>49.93</v>
      </c>
      <c r="Y857">
        <v>65.2</v>
      </c>
    </row>
    <row r="858" spans="1:25" x14ac:dyDescent="0.3">
      <c r="A858" t="s">
        <v>228</v>
      </c>
      <c r="B858" t="str">
        <f t="shared" si="13"/>
        <v>Jan</v>
      </c>
      <c r="C858" t="s">
        <v>68</v>
      </c>
      <c r="D858" t="s">
        <v>69</v>
      </c>
      <c r="E858">
        <v>283576573577.34998</v>
      </c>
      <c r="F858">
        <v>45892.800000000003</v>
      </c>
      <c r="G858">
        <v>19352830420.009998</v>
      </c>
      <c r="H858">
        <v>14179092</v>
      </c>
      <c r="I858">
        <v>14192916</v>
      </c>
      <c r="J858">
        <v>14434057</v>
      </c>
      <c r="K858">
        <v>55.16</v>
      </c>
      <c r="L858">
        <v>-3.64</v>
      </c>
      <c r="M858">
        <v>4.4000000000000004</v>
      </c>
      <c r="N858">
        <v>-24.82</v>
      </c>
      <c r="O858">
        <v>57</v>
      </c>
      <c r="P858" t="s">
        <v>51</v>
      </c>
      <c r="Q858" t="s">
        <v>57</v>
      </c>
      <c r="R858" t="s">
        <v>42</v>
      </c>
      <c r="S858">
        <v>2023</v>
      </c>
      <c r="T858" t="s">
        <v>36</v>
      </c>
      <c r="U858">
        <v>43410</v>
      </c>
      <c r="V858">
        <v>17.97</v>
      </c>
      <c r="W858">
        <v>30.61</v>
      </c>
      <c r="X858">
        <v>15.45</v>
      </c>
      <c r="Y858">
        <v>98.99</v>
      </c>
    </row>
    <row r="859" spans="1:25" x14ac:dyDescent="0.3">
      <c r="A859" t="s">
        <v>363</v>
      </c>
      <c r="B859" t="str">
        <f t="shared" si="13"/>
        <v>Apr</v>
      </c>
      <c r="C859" t="s">
        <v>44</v>
      </c>
      <c r="D859" t="s">
        <v>45</v>
      </c>
      <c r="E859">
        <v>419416624022.23999</v>
      </c>
      <c r="F859">
        <v>57125.599999999999</v>
      </c>
      <c r="G859">
        <v>37440392406.129997</v>
      </c>
      <c r="H859">
        <v>10523626</v>
      </c>
      <c r="I859">
        <v>10643639</v>
      </c>
      <c r="J859">
        <v>11080896</v>
      </c>
      <c r="K859">
        <v>47.75</v>
      </c>
      <c r="L859">
        <v>3.83</v>
      </c>
      <c r="M859">
        <v>1.57</v>
      </c>
      <c r="N859">
        <v>13.33</v>
      </c>
      <c r="O859">
        <v>140</v>
      </c>
      <c r="P859" t="s">
        <v>40</v>
      </c>
      <c r="Q859" t="s">
        <v>28</v>
      </c>
      <c r="R859" t="s">
        <v>64</v>
      </c>
      <c r="S859">
        <v>2020</v>
      </c>
      <c r="T859" t="s">
        <v>36</v>
      </c>
      <c r="U859">
        <v>32402</v>
      </c>
      <c r="V859">
        <v>85.28</v>
      </c>
      <c r="W859">
        <v>87.2</v>
      </c>
      <c r="X859">
        <v>46.39</v>
      </c>
      <c r="Y859">
        <v>93.53</v>
      </c>
    </row>
    <row r="860" spans="1:25" x14ac:dyDescent="0.3">
      <c r="A860" t="s">
        <v>349</v>
      </c>
      <c r="B860" t="str">
        <f t="shared" si="13"/>
        <v>May</v>
      </c>
      <c r="C860" t="s">
        <v>44</v>
      </c>
      <c r="D860" t="s">
        <v>45</v>
      </c>
      <c r="E860">
        <v>334982739619.22998</v>
      </c>
      <c r="F860">
        <v>69671.27</v>
      </c>
      <c r="G860">
        <v>45237828552.300003</v>
      </c>
      <c r="H860">
        <v>6154333</v>
      </c>
      <c r="I860">
        <v>7206633</v>
      </c>
      <c r="J860">
        <v>7557521</v>
      </c>
      <c r="K860">
        <v>48.39</v>
      </c>
      <c r="L860">
        <v>-3.84</v>
      </c>
      <c r="M860">
        <v>-15.5</v>
      </c>
      <c r="N860">
        <v>-6.52</v>
      </c>
      <c r="O860">
        <v>123</v>
      </c>
      <c r="P860" t="s">
        <v>40</v>
      </c>
      <c r="Q860" t="s">
        <v>57</v>
      </c>
      <c r="R860" t="s">
        <v>64</v>
      </c>
      <c r="S860">
        <v>2023</v>
      </c>
      <c r="T860" t="s">
        <v>36</v>
      </c>
      <c r="U860">
        <v>15436</v>
      </c>
      <c r="V860">
        <v>20.27</v>
      </c>
      <c r="W860">
        <v>95.5</v>
      </c>
      <c r="X860">
        <v>62.74</v>
      </c>
      <c r="Y860">
        <v>65.569999999999993</v>
      </c>
    </row>
    <row r="861" spans="1:25" x14ac:dyDescent="0.3">
      <c r="A861" t="s">
        <v>236</v>
      </c>
      <c r="B861" t="str">
        <f t="shared" si="13"/>
        <v>Jan</v>
      </c>
      <c r="C861" t="s">
        <v>38</v>
      </c>
      <c r="D861" t="s">
        <v>39</v>
      </c>
      <c r="E861">
        <v>620707347590.68005</v>
      </c>
      <c r="F861">
        <v>27430.400000000001</v>
      </c>
      <c r="G861">
        <v>32293250578.349998</v>
      </c>
      <c r="H861">
        <v>11368921</v>
      </c>
      <c r="I861">
        <v>14448510</v>
      </c>
      <c r="J861">
        <v>15432431</v>
      </c>
      <c r="K861">
        <v>57.61</v>
      </c>
      <c r="L861">
        <v>-4.96</v>
      </c>
      <c r="M861">
        <v>4.3499999999999996</v>
      </c>
      <c r="N861">
        <v>39</v>
      </c>
      <c r="O861">
        <v>41</v>
      </c>
      <c r="P861" t="s">
        <v>40</v>
      </c>
      <c r="Q861" t="s">
        <v>57</v>
      </c>
      <c r="R861" t="s">
        <v>42</v>
      </c>
      <c r="S861">
        <v>2022</v>
      </c>
      <c r="T861" t="s">
        <v>36</v>
      </c>
      <c r="U861">
        <v>26674</v>
      </c>
      <c r="V861">
        <v>50.07</v>
      </c>
      <c r="W861">
        <v>36.130000000000003</v>
      </c>
      <c r="X861">
        <v>66.459999999999994</v>
      </c>
      <c r="Y861">
        <v>28.44</v>
      </c>
    </row>
    <row r="862" spans="1:25" x14ac:dyDescent="0.3">
      <c r="A862" t="s">
        <v>189</v>
      </c>
      <c r="B862" t="str">
        <f t="shared" si="13"/>
        <v>Sep</v>
      </c>
      <c r="C862" t="s">
        <v>49</v>
      </c>
      <c r="D862" t="s">
        <v>50</v>
      </c>
      <c r="E862">
        <v>788916372642.55005</v>
      </c>
      <c r="F862">
        <v>21741.89</v>
      </c>
      <c r="G862">
        <v>14331111684.68</v>
      </c>
      <c r="H862">
        <v>10344871</v>
      </c>
      <c r="I862">
        <v>13814872</v>
      </c>
      <c r="J862">
        <v>14546332</v>
      </c>
      <c r="K862">
        <v>25.52</v>
      </c>
      <c r="L862">
        <v>1.32</v>
      </c>
      <c r="M862">
        <v>-8.3800000000000008</v>
      </c>
      <c r="N862">
        <v>-24</v>
      </c>
      <c r="O862">
        <v>156</v>
      </c>
      <c r="P862" t="s">
        <v>46</v>
      </c>
      <c r="Q862" t="s">
        <v>34</v>
      </c>
      <c r="R862" t="s">
        <v>42</v>
      </c>
      <c r="S862">
        <v>2018</v>
      </c>
      <c r="T862" t="s">
        <v>36</v>
      </c>
      <c r="U862">
        <v>34595</v>
      </c>
      <c r="V862">
        <v>92.87</v>
      </c>
      <c r="W862">
        <v>79.650000000000006</v>
      </c>
      <c r="X862">
        <v>38.5</v>
      </c>
      <c r="Y862">
        <v>52.9</v>
      </c>
    </row>
    <row r="863" spans="1:25" x14ac:dyDescent="0.3">
      <c r="A863" t="s">
        <v>158</v>
      </c>
      <c r="B863" t="str">
        <f t="shared" si="13"/>
        <v>Jul</v>
      </c>
      <c r="C863" t="s">
        <v>68</v>
      </c>
      <c r="D863" t="s">
        <v>69</v>
      </c>
      <c r="E863">
        <v>651899454613.85999</v>
      </c>
      <c r="F863">
        <v>50947.73</v>
      </c>
      <c r="G863">
        <v>27174639410.950001</v>
      </c>
      <c r="H863">
        <v>7583046</v>
      </c>
      <c r="I863">
        <v>10104614</v>
      </c>
      <c r="J863">
        <v>10799215</v>
      </c>
      <c r="K863">
        <v>19.96</v>
      </c>
      <c r="L863">
        <v>4.37</v>
      </c>
      <c r="M863">
        <v>-13.47</v>
      </c>
      <c r="N863">
        <v>-0.2</v>
      </c>
      <c r="O863">
        <v>178</v>
      </c>
      <c r="P863" t="s">
        <v>46</v>
      </c>
      <c r="Q863" t="s">
        <v>57</v>
      </c>
      <c r="R863" t="s">
        <v>35</v>
      </c>
      <c r="S863">
        <v>2011</v>
      </c>
      <c r="T863" t="s">
        <v>36</v>
      </c>
      <c r="U863">
        <v>36835</v>
      </c>
      <c r="V863">
        <v>35.61</v>
      </c>
      <c r="W863">
        <v>73.180000000000007</v>
      </c>
      <c r="X863">
        <v>34.17</v>
      </c>
      <c r="Y863">
        <v>71.989999999999995</v>
      </c>
    </row>
    <row r="864" spans="1:25" x14ac:dyDescent="0.3">
      <c r="A864" t="s">
        <v>201</v>
      </c>
      <c r="B864" t="str">
        <f t="shared" si="13"/>
        <v>May</v>
      </c>
      <c r="C864" t="s">
        <v>90</v>
      </c>
      <c r="D864" t="s">
        <v>91</v>
      </c>
      <c r="E864">
        <v>299196258098.59998</v>
      </c>
      <c r="F864">
        <v>36092.11</v>
      </c>
      <c r="G864">
        <v>20126400201.759998</v>
      </c>
      <c r="H864">
        <v>6157033</v>
      </c>
      <c r="I864">
        <v>10571299</v>
      </c>
      <c r="J864">
        <v>11326432</v>
      </c>
      <c r="K864">
        <v>29.58</v>
      </c>
      <c r="L864">
        <v>-2.82</v>
      </c>
      <c r="M864">
        <v>2.31</v>
      </c>
      <c r="N864">
        <v>26.72</v>
      </c>
      <c r="O864">
        <v>189</v>
      </c>
      <c r="P864" t="s">
        <v>51</v>
      </c>
      <c r="Q864" t="s">
        <v>28</v>
      </c>
      <c r="R864" t="s">
        <v>35</v>
      </c>
      <c r="S864">
        <v>2020</v>
      </c>
      <c r="T864" t="s">
        <v>30</v>
      </c>
      <c r="U864">
        <v>14085</v>
      </c>
      <c r="V864">
        <v>85.26</v>
      </c>
      <c r="W864">
        <v>90.02</v>
      </c>
      <c r="X864">
        <v>22.86</v>
      </c>
      <c r="Y864">
        <v>80.89</v>
      </c>
    </row>
    <row r="865" spans="1:25" x14ac:dyDescent="0.3">
      <c r="A865" t="s">
        <v>293</v>
      </c>
      <c r="B865" t="str">
        <f t="shared" si="13"/>
        <v>Aug</v>
      </c>
      <c r="C865" t="s">
        <v>78</v>
      </c>
      <c r="D865" t="s">
        <v>79</v>
      </c>
      <c r="E865">
        <v>244668882321.97</v>
      </c>
      <c r="F865">
        <v>8528.32</v>
      </c>
      <c r="G865">
        <v>8063944899</v>
      </c>
      <c r="H865">
        <v>13488343</v>
      </c>
      <c r="I865">
        <v>13807700</v>
      </c>
      <c r="J865">
        <v>14596751</v>
      </c>
      <c r="K865">
        <v>36.53</v>
      </c>
      <c r="L865">
        <v>-2.83</v>
      </c>
      <c r="M865">
        <v>-5.29</v>
      </c>
      <c r="N865">
        <v>-18.07</v>
      </c>
      <c r="O865">
        <v>110</v>
      </c>
      <c r="P865" t="s">
        <v>46</v>
      </c>
      <c r="Q865" t="s">
        <v>47</v>
      </c>
      <c r="R865" t="s">
        <v>74</v>
      </c>
      <c r="S865">
        <v>2010</v>
      </c>
      <c r="T865" t="s">
        <v>36</v>
      </c>
      <c r="U865">
        <v>37893</v>
      </c>
      <c r="V865">
        <v>73.849999999999994</v>
      </c>
      <c r="W865">
        <v>53.47</v>
      </c>
      <c r="X865">
        <v>36.93</v>
      </c>
      <c r="Y865">
        <v>77.59</v>
      </c>
    </row>
    <row r="866" spans="1:25" x14ac:dyDescent="0.3">
      <c r="A866" t="s">
        <v>340</v>
      </c>
      <c r="B866" t="str">
        <f t="shared" si="13"/>
        <v>Apr</v>
      </c>
      <c r="C866" t="s">
        <v>60</v>
      </c>
      <c r="D866" t="s">
        <v>61</v>
      </c>
      <c r="E866">
        <v>849574863609.38</v>
      </c>
      <c r="F866">
        <v>11619.26</v>
      </c>
      <c r="G866">
        <v>12261668299.57</v>
      </c>
      <c r="H866">
        <v>13461588</v>
      </c>
      <c r="I866">
        <v>14012313</v>
      </c>
      <c r="J866">
        <v>14236545</v>
      </c>
      <c r="K866">
        <v>12.76</v>
      </c>
      <c r="L866">
        <v>2.25</v>
      </c>
      <c r="M866">
        <v>-8.1</v>
      </c>
      <c r="N866">
        <v>13.79</v>
      </c>
      <c r="O866">
        <v>134</v>
      </c>
      <c r="P866" t="s">
        <v>51</v>
      </c>
      <c r="Q866" t="s">
        <v>28</v>
      </c>
      <c r="R866" t="s">
        <v>42</v>
      </c>
      <c r="S866">
        <v>2015</v>
      </c>
      <c r="T866" t="s">
        <v>30</v>
      </c>
      <c r="U866">
        <v>12185</v>
      </c>
      <c r="V866">
        <v>61.79</v>
      </c>
      <c r="W866">
        <v>82.18</v>
      </c>
      <c r="X866">
        <v>35.99</v>
      </c>
      <c r="Y866">
        <v>21.92</v>
      </c>
    </row>
    <row r="867" spans="1:25" x14ac:dyDescent="0.3">
      <c r="A867" t="s">
        <v>373</v>
      </c>
      <c r="B867" t="str">
        <f t="shared" si="13"/>
        <v>Dec</v>
      </c>
      <c r="C867" t="s">
        <v>68</v>
      </c>
      <c r="D867" t="s">
        <v>69</v>
      </c>
      <c r="E867">
        <v>62120274941.25</v>
      </c>
      <c r="F867">
        <v>10368.75</v>
      </c>
      <c r="G867">
        <v>36812024621.809998</v>
      </c>
      <c r="H867">
        <v>18742571</v>
      </c>
      <c r="I867">
        <v>19360845</v>
      </c>
      <c r="J867">
        <v>19592319</v>
      </c>
      <c r="K867">
        <v>55.45</v>
      </c>
      <c r="L867">
        <v>-0.33</v>
      </c>
      <c r="M867">
        <v>14.94</v>
      </c>
      <c r="N867">
        <v>33.340000000000003</v>
      </c>
      <c r="O867">
        <v>38</v>
      </c>
      <c r="P867" t="s">
        <v>46</v>
      </c>
      <c r="Q867" t="s">
        <v>34</v>
      </c>
      <c r="R867" t="s">
        <v>29</v>
      </c>
      <c r="S867">
        <v>2012</v>
      </c>
      <c r="T867" t="s">
        <v>36</v>
      </c>
      <c r="U867">
        <v>50689</v>
      </c>
      <c r="V867">
        <v>48.17</v>
      </c>
      <c r="W867">
        <v>42.37</v>
      </c>
      <c r="X867">
        <v>57.23</v>
      </c>
      <c r="Y867">
        <v>78.37</v>
      </c>
    </row>
    <row r="868" spans="1:25" x14ac:dyDescent="0.3">
      <c r="A868" t="s">
        <v>122</v>
      </c>
      <c r="B868" t="str">
        <f t="shared" si="13"/>
        <v>Jul</v>
      </c>
      <c r="C868" t="s">
        <v>90</v>
      </c>
      <c r="D868" t="s">
        <v>91</v>
      </c>
      <c r="E868">
        <v>628406486084.10999</v>
      </c>
      <c r="F868">
        <v>44895.57</v>
      </c>
      <c r="G868">
        <v>8006712967.7200003</v>
      </c>
      <c r="H868">
        <v>1098738</v>
      </c>
      <c r="I868">
        <v>4487648</v>
      </c>
      <c r="J868">
        <v>5423377</v>
      </c>
      <c r="K868">
        <v>39.6</v>
      </c>
      <c r="L868">
        <v>1.72</v>
      </c>
      <c r="M868">
        <v>-9.7200000000000006</v>
      </c>
      <c r="N868">
        <v>34.340000000000003</v>
      </c>
      <c r="O868">
        <v>182</v>
      </c>
      <c r="P868" t="s">
        <v>27</v>
      </c>
      <c r="Q868" t="s">
        <v>28</v>
      </c>
      <c r="R868" t="s">
        <v>35</v>
      </c>
      <c r="S868">
        <v>2021</v>
      </c>
      <c r="T868" t="s">
        <v>30</v>
      </c>
      <c r="U868">
        <v>8699</v>
      </c>
      <c r="V868">
        <v>27.65</v>
      </c>
      <c r="W868">
        <v>79.430000000000007</v>
      </c>
      <c r="X868">
        <v>12.98</v>
      </c>
      <c r="Y868">
        <v>62.78</v>
      </c>
    </row>
    <row r="869" spans="1:25" x14ac:dyDescent="0.3">
      <c r="A869" t="s">
        <v>244</v>
      </c>
      <c r="B869" t="str">
        <f t="shared" si="13"/>
        <v>Jun</v>
      </c>
      <c r="C869" t="s">
        <v>90</v>
      </c>
      <c r="D869" t="s">
        <v>91</v>
      </c>
      <c r="E869">
        <v>487102767544.60999</v>
      </c>
      <c r="F869">
        <v>51541.74</v>
      </c>
      <c r="G869">
        <v>1886469907.8599999</v>
      </c>
      <c r="H869">
        <v>14215071</v>
      </c>
      <c r="I869">
        <v>19124508</v>
      </c>
      <c r="J869">
        <v>19638066</v>
      </c>
      <c r="K869">
        <v>47.96</v>
      </c>
      <c r="L869">
        <v>1.86</v>
      </c>
      <c r="M869">
        <v>9.18</v>
      </c>
      <c r="N869">
        <v>-37.880000000000003</v>
      </c>
      <c r="O869">
        <v>54</v>
      </c>
      <c r="P869" t="s">
        <v>27</v>
      </c>
      <c r="Q869" t="s">
        <v>28</v>
      </c>
      <c r="R869" t="s">
        <v>42</v>
      </c>
      <c r="S869">
        <v>2014</v>
      </c>
      <c r="T869" t="s">
        <v>30</v>
      </c>
      <c r="U869">
        <v>1988</v>
      </c>
      <c r="V869">
        <v>32.229999999999997</v>
      </c>
      <c r="W869">
        <v>77.56</v>
      </c>
      <c r="X869">
        <v>66.53</v>
      </c>
      <c r="Y869">
        <v>16.88</v>
      </c>
    </row>
    <row r="870" spans="1:25" x14ac:dyDescent="0.3">
      <c r="A870" t="s">
        <v>407</v>
      </c>
      <c r="B870" t="str">
        <f t="shared" si="13"/>
        <v>Nov</v>
      </c>
      <c r="C870" t="s">
        <v>25</v>
      </c>
      <c r="D870" t="s">
        <v>26</v>
      </c>
      <c r="E870">
        <v>63315676452.370003</v>
      </c>
      <c r="F870">
        <v>27785.19</v>
      </c>
      <c r="G870">
        <v>3202761880.0300002</v>
      </c>
      <c r="H870">
        <v>16364109</v>
      </c>
      <c r="I870">
        <v>16690417</v>
      </c>
      <c r="J870">
        <v>17060632</v>
      </c>
      <c r="K870">
        <v>10.92</v>
      </c>
      <c r="L870">
        <v>3.81</v>
      </c>
      <c r="M870">
        <v>-3.02</v>
      </c>
      <c r="N870">
        <v>6.93</v>
      </c>
      <c r="O870">
        <v>126</v>
      </c>
      <c r="P870" t="s">
        <v>51</v>
      </c>
      <c r="Q870" t="s">
        <v>47</v>
      </c>
      <c r="R870" t="s">
        <v>29</v>
      </c>
      <c r="S870">
        <v>2020</v>
      </c>
      <c r="T870" t="s">
        <v>30</v>
      </c>
      <c r="U870">
        <v>2299</v>
      </c>
      <c r="V870">
        <v>85.88</v>
      </c>
      <c r="W870">
        <v>21.93</v>
      </c>
      <c r="X870">
        <v>21.1</v>
      </c>
      <c r="Y870">
        <v>47.65</v>
      </c>
    </row>
    <row r="871" spans="1:25" x14ac:dyDescent="0.3">
      <c r="A871" t="s">
        <v>312</v>
      </c>
      <c r="B871" t="str">
        <f t="shared" si="13"/>
        <v>Aug</v>
      </c>
      <c r="C871" t="s">
        <v>78</v>
      </c>
      <c r="D871" t="s">
        <v>79</v>
      </c>
      <c r="E871">
        <v>412023910272.40002</v>
      </c>
      <c r="F871">
        <v>36343.29</v>
      </c>
      <c r="G871">
        <v>6846062907.8500004</v>
      </c>
      <c r="H871">
        <v>15244926</v>
      </c>
      <c r="I871">
        <v>19694619</v>
      </c>
      <c r="J871">
        <v>20329404</v>
      </c>
      <c r="K871">
        <v>43.28</v>
      </c>
      <c r="L871">
        <v>-3</v>
      </c>
      <c r="M871">
        <v>-11.28</v>
      </c>
      <c r="N871">
        <v>-23.39</v>
      </c>
      <c r="O871">
        <v>92</v>
      </c>
      <c r="P871" t="s">
        <v>46</v>
      </c>
      <c r="Q871" t="s">
        <v>34</v>
      </c>
      <c r="R871" t="s">
        <v>74</v>
      </c>
      <c r="S871">
        <v>2014</v>
      </c>
      <c r="T871" t="s">
        <v>36</v>
      </c>
      <c r="U871">
        <v>45541</v>
      </c>
      <c r="V871">
        <v>69.459999999999994</v>
      </c>
      <c r="W871">
        <v>34.72</v>
      </c>
      <c r="X871">
        <v>74.67</v>
      </c>
      <c r="Y871">
        <v>13.92</v>
      </c>
    </row>
    <row r="872" spans="1:25" x14ac:dyDescent="0.3">
      <c r="A872" t="s">
        <v>355</v>
      </c>
      <c r="B872" t="str">
        <f t="shared" si="13"/>
        <v>Jun</v>
      </c>
      <c r="C872" t="s">
        <v>44</v>
      </c>
      <c r="D872" t="s">
        <v>45</v>
      </c>
      <c r="E872">
        <v>580456604920.23999</v>
      </c>
      <c r="F872">
        <v>11429.48</v>
      </c>
      <c r="G872">
        <v>25938685804.66</v>
      </c>
      <c r="H872">
        <v>6371329</v>
      </c>
      <c r="I872">
        <v>7774090</v>
      </c>
      <c r="J872">
        <v>8144232</v>
      </c>
      <c r="K872">
        <v>8.5500000000000007</v>
      </c>
      <c r="L872">
        <v>0.03</v>
      </c>
      <c r="M872">
        <v>12.37</v>
      </c>
      <c r="N872">
        <v>9.26</v>
      </c>
      <c r="O872">
        <v>10</v>
      </c>
      <c r="P872" t="s">
        <v>40</v>
      </c>
      <c r="Q872" t="s">
        <v>34</v>
      </c>
      <c r="R872" t="s">
        <v>35</v>
      </c>
      <c r="S872">
        <v>2018</v>
      </c>
      <c r="T872" t="s">
        <v>36</v>
      </c>
      <c r="U872">
        <v>28799</v>
      </c>
      <c r="V872">
        <v>33.36</v>
      </c>
      <c r="W872">
        <v>59.63</v>
      </c>
      <c r="X872">
        <v>76.34</v>
      </c>
      <c r="Y872">
        <v>92.91</v>
      </c>
    </row>
    <row r="873" spans="1:25" x14ac:dyDescent="0.3">
      <c r="A873" t="s">
        <v>172</v>
      </c>
      <c r="B873" t="str">
        <f t="shared" si="13"/>
        <v>Aug</v>
      </c>
      <c r="C873" t="s">
        <v>49</v>
      </c>
      <c r="D873" t="s">
        <v>50</v>
      </c>
      <c r="E873">
        <v>837944860209.27002</v>
      </c>
      <c r="F873">
        <v>2070.21</v>
      </c>
      <c r="G873">
        <v>19294919315.389999</v>
      </c>
      <c r="H873">
        <v>5226484</v>
      </c>
      <c r="I873">
        <v>7748291</v>
      </c>
      <c r="J873">
        <v>8170880</v>
      </c>
      <c r="K873">
        <v>50.4</v>
      </c>
      <c r="L873">
        <v>-4.12</v>
      </c>
      <c r="M873">
        <v>15.37</v>
      </c>
      <c r="N873">
        <v>-3.54</v>
      </c>
      <c r="O873">
        <v>31</v>
      </c>
      <c r="P873" t="s">
        <v>40</v>
      </c>
      <c r="Q873" t="s">
        <v>47</v>
      </c>
      <c r="R873" t="s">
        <v>64</v>
      </c>
      <c r="S873">
        <v>2017</v>
      </c>
      <c r="T873" t="s">
        <v>36</v>
      </c>
      <c r="U873">
        <v>14346</v>
      </c>
      <c r="V873">
        <v>54.71</v>
      </c>
      <c r="W873">
        <v>91.23</v>
      </c>
      <c r="X873">
        <v>32.07</v>
      </c>
      <c r="Y873">
        <v>12.24</v>
      </c>
    </row>
    <row r="874" spans="1:25" x14ac:dyDescent="0.3">
      <c r="A874" t="s">
        <v>409</v>
      </c>
      <c r="B874" t="str">
        <f t="shared" si="13"/>
        <v>Dec</v>
      </c>
      <c r="C874" t="s">
        <v>44</v>
      </c>
      <c r="D874" t="s">
        <v>45</v>
      </c>
      <c r="E874">
        <v>45070171889.010002</v>
      </c>
      <c r="F874">
        <v>57632.19</v>
      </c>
      <c r="G874">
        <v>33027703821.209999</v>
      </c>
      <c r="H874">
        <v>2742724</v>
      </c>
      <c r="I874">
        <v>5814833</v>
      </c>
      <c r="J874">
        <v>6618776</v>
      </c>
      <c r="K874">
        <v>48.48</v>
      </c>
      <c r="L874">
        <v>4.0599999999999996</v>
      </c>
      <c r="M874">
        <v>0.18</v>
      </c>
      <c r="N874">
        <v>38.86</v>
      </c>
      <c r="O874">
        <v>73</v>
      </c>
      <c r="P874" t="s">
        <v>27</v>
      </c>
      <c r="Q874" t="s">
        <v>57</v>
      </c>
      <c r="R874" t="s">
        <v>29</v>
      </c>
      <c r="S874">
        <v>2011</v>
      </c>
      <c r="T874" t="s">
        <v>36</v>
      </c>
      <c r="U874">
        <v>26888</v>
      </c>
      <c r="V874">
        <v>90.02</v>
      </c>
      <c r="W874">
        <v>72.02</v>
      </c>
      <c r="X874">
        <v>38.9</v>
      </c>
      <c r="Y874">
        <v>87.48</v>
      </c>
    </row>
    <row r="875" spans="1:25" x14ac:dyDescent="0.3">
      <c r="A875" t="s">
        <v>262</v>
      </c>
      <c r="B875" t="str">
        <f t="shared" si="13"/>
        <v>Apr</v>
      </c>
      <c r="C875" t="s">
        <v>38</v>
      </c>
      <c r="D875" t="s">
        <v>39</v>
      </c>
      <c r="E875">
        <v>629281440745.43994</v>
      </c>
      <c r="F875">
        <v>16299.54</v>
      </c>
      <c r="G875">
        <v>12752256579.5</v>
      </c>
      <c r="H875">
        <v>10359773</v>
      </c>
      <c r="I875">
        <v>13194164</v>
      </c>
      <c r="J875">
        <v>13221315</v>
      </c>
      <c r="K875">
        <v>51.12</v>
      </c>
      <c r="L875">
        <v>-1.74</v>
      </c>
      <c r="M875">
        <v>-3.23</v>
      </c>
      <c r="N875">
        <v>34.74</v>
      </c>
      <c r="O875">
        <v>22</v>
      </c>
      <c r="P875" t="s">
        <v>46</v>
      </c>
      <c r="Q875" t="s">
        <v>41</v>
      </c>
      <c r="R875" t="s">
        <v>64</v>
      </c>
      <c r="S875">
        <v>2019</v>
      </c>
      <c r="T875" t="s">
        <v>36</v>
      </c>
      <c r="U875">
        <v>52345</v>
      </c>
      <c r="V875">
        <v>23.9</v>
      </c>
      <c r="W875">
        <v>84.27</v>
      </c>
      <c r="X875">
        <v>71.91</v>
      </c>
      <c r="Y875">
        <v>94.11</v>
      </c>
    </row>
    <row r="876" spans="1:25" x14ac:dyDescent="0.3">
      <c r="A876" t="s">
        <v>378</v>
      </c>
      <c r="B876" t="str">
        <f t="shared" si="13"/>
        <v>Jan</v>
      </c>
      <c r="C876" t="s">
        <v>38</v>
      </c>
      <c r="D876" t="s">
        <v>39</v>
      </c>
      <c r="E876">
        <v>172781300343.10999</v>
      </c>
      <c r="F876">
        <v>60848</v>
      </c>
      <c r="G876">
        <v>38843268247.269997</v>
      </c>
      <c r="H876">
        <v>3723212</v>
      </c>
      <c r="I876">
        <v>8703763</v>
      </c>
      <c r="J876">
        <v>9058474</v>
      </c>
      <c r="K876">
        <v>22.8</v>
      </c>
      <c r="L876">
        <v>-4.8499999999999996</v>
      </c>
      <c r="M876">
        <v>-15.67</v>
      </c>
      <c r="N876">
        <v>30.68</v>
      </c>
      <c r="O876">
        <v>160</v>
      </c>
      <c r="P876" t="s">
        <v>53</v>
      </c>
      <c r="Q876" t="s">
        <v>57</v>
      </c>
      <c r="R876" t="s">
        <v>42</v>
      </c>
      <c r="S876">
        <v>2021</v>
      </c>
      <c r="T876" t="s">
        <v>36</v>
      </c>
      <c r="U876">
        <v>22010</v>
      </c>
      <c r="V876">
        <v>66.08</v>
      </c>
      <c r="W876">
        <v>84.71</v>
      </c>
      <c r="X876">
        <v>36.049999999999997</v>
      </c>
      <c r="Y876">
        <v>90.06</v>
      </c>
    </row>
    <row r="877" spans="1:25" x14ac:dyDescent="0.3">
      <c r="A877" t="s">
        <v>229</v>
      </c>
      <c r="B877" t="str">
        <f t="shared" si="13"/>
        <v>Oct</v>
      </c>
      <c r="C877" t="s">
        <v>78</v>
      </c>
      <c r="D877" t="s">
        <v>79</v>
      </c>
      <c r="E877">
        <v>623586178465.97998</v>
      </c>
      <c r="F877">
        <v>36848.949999999997</v>
      </c>
      <c r="G877">
        <v>4763242934.2299995</v>
      </c>
      <c r="H877">
        <v>10277500</v>
      </c>
      <c r="I877">
        <v>14901244</v>
      </c>
      <c r="J877">
        <v>15015007</v>
      </c>
      <c r="K877">
        <v>44.19</v>
      </c>
      <c r="L877">
        <v>-3.82</v>
      </c>
      <c r="M877">
        <v>13.84</v>
      </c>
      <c r="N877">
        <v>-27.07</v>
      </c>
      <c r="O877">
        <v>126</v>
      </c>
      <c r="P877" t="s">
        <v>40</v>
      </c>
      <c r="Q877" t="s">
        <v>57</v>
      </c>
      <c r="R877" t="s">
        <v>42</v>
      </c>
      <c r="S877">
        <v>2012</v>
      </c>
      <c r="T877" t="s">
        <v>36</v>
      </c>
      <c r="U877">
        <v>34895</v>
      </c>
      <c r="V877">
        <v>85.89</v>
      </c>
      <c r="W877">
        <v>39.729999999999997</v>
      </c>
      <c r="X877">
        <v>57.11</v>
      </c>
      <c r="Y877">
        <v>65.989999999999995</v>
      </c>
    </row>
    <row r="878" spans="1:25" x14ac:dyDescent="0.3">
      <c r="A878" t="s">
        <v>110</v>
      </c>
      <c r="B878" t="str">
        <f t="shared" si="13"/>
        <v>Aug</v>
      </c>
      <c r="C878" t="s">
        <v>38</v>
      </c>
      <c r="D878" t="s">
        <v>39</v>
      </c>
      <c r="E878">
        <v>663539916189.22998</v>
      </c>
      <c r="F878">
        <v>15234.38</v>
      </c>
      <c r="G878">
        <v>9211164405.3600006</v>
      </c>
      <c r="H878">
        <v>3478126</v>
      </c>
      <c r="I878">
        <v>4943551</v>
      </c>
      <c r="J878">
        <v>5077055</v>
      </c>
      <c r="K878">
        <v>53.2</v>
      </c>
      <c r="L878">
        <v>-1.53</v>
      </c>
      <c r="M878">
        <v>17.93</v>
      </c>
      <c r="N878">
        <v>35.86</v>
      </c>
      <c r="O878">
        <v>141</v>
      </c>
      <c r="P878" t="s">
        <v>53</v>
      </c>
      <c r="Q878" t="s">
        <v>57</v>
      </c>
      <c r="R878" t="s">
        <v>42</v>
      </c>
      <c r="S878">
        <v>2016</v>
      </c>
      <c r="T878" t="s">
        <v>36</v>
      </c>
      <c r="U878">
        <v>59119</v>
      </c>
      <c r="V878">
        <v>27.19</v>
      </c>
      <c r="W878">
        <v>44.56</v>
      </c>
      <c r="X878">
        <v>31.85</v>
      </c>
      <c r="Y878">
        <v>26.2</v>
      </c>
    </row>
    <row r="879" spans="1:25" x14ac:dyDescent="0.3">
      <c r="A879" t="s">
        <v>410</v>
      </c>
      <c r="B879" t="str">
        <f t="shared" si="13"/>
        <v>May</v>
      </c>
      <c r="C879" t="s">
        <v>60</v>
      </c>
      <c r="D879" t="s">
        <v>61</v>
      </c>
      <c r="E879">
        <v>43921662267.290001</v>
      </c>
      <c r="F879">
        <v>21349.51</v>
      </c>
      <c r="G879">
        <v>8712132616.2700005</v>
      </c>
      <c r="H879">
        <v>11175058</v>
      </c>
      <c r="I879">
        <v>13084106</v>
      </c>
      <c r="J879">
        <v>14013726</v>
      </c>
      <c r="K879">
        <v>4.54</v>
      </c>
      <c r="L879">
        <v>-3.07</v>
      </c>
      <c r="M879">
        <v>-1.73</v>
      </c>
      <c r="N879">
        <v>-36.56</v>
      </c>
      <c r="O879">
        <v>122</v>
      </c>
      <c r="P879" t="s">
        <v>53</v>
      </c>
      <c r="Q879" t="s">
        <v>28</v>
      </c>
      <c r="R879" t="s">
        <v>74</v>
      </c>
      <c r="S879">
        <v>2014</v>
      </c>
      <c r="T879" t="s">
        <v>30</v>
      </c>
      <c r="U879">
        <v>36262</v>
      </c>
      <c r="V879">
        <v>42.96</v>
      </c>
      <c r="W879">
        <v>74.11</v>
      </c>
      <c r="X879">
        <v>35.54</v>
      </c>
      <c r="Y879">
        <v>90.86</v>
      </c>
    </row>
    <row r="880" spans="1:25" x14ac:dyDescent="0.3">
      <c r="A880" t="s">
        <v>288</v>
      </c>
      <c r="B880" t="str">
        <f t="shared" si="13"/>
        <v>Mar</v>
      </c>
      <c r="C880" t="s">
        <v>25</v>
      </c>
      <c r="D880" t="s">
        <v>26</v>
      </c>
      <c r="E880">
        <v>390384473149.09998</v>
      </c>
      <c r="F880">
        <v>28697.34</v>
      </c>
      <c r="G880">
        <v>44534980456.209999</v>
      </c>
      <c r="H880">
        <v>5620707</v>
      </c>
      <c r="I880">
        <v>6884128</v>
      </c>
      <c r="J880">
        <v>7541199</v>
      </c>
      <c r="K880">
        <v>58.2</v>
      </c>
      <c r="L880">
        <v>3.64</v>
      </c>
      <c r="M880">
        <v>8.89</v>
      </c>
      <c r="N880">
        <v>0.51</v>
      </c>
      <c r="O880">
        <v>146</v>
      </c>
      <c r="P880" t="s">
        <v>53</v>
      </c>
      <c r="Q880" t="s">
        <v>28</v>
      </c>
      <c r="R880" t="s">
        <v>29</v>
      </c>
      <c r="S880">
        <v>2015</v>
      </c>
      <c r="T880" t="s">
        <v>30</v>
      </c>
      <c r="U880">
        <v>9913</v>
      </c>
      <c r="V880">
        <v>43.88</v>
      </c>
      <c r="W880">
        <v>46.94</v>
      </c>
      <c r="X880">
        <v>77.42</v>
      </c>
      <c r="Y880">
        <v>95.01</v>
      </c>
    </row>
    <row r="881" spans="1:25" x14ac:dyDescent="0.3">
      <c r="A881" t="s">
        <v>289</v>
      </c>
      <c r="B881" t="str">
        <f t="shared" si="13"/>
        <v>Jul</v>
      </c>
      <c r="C881" t="s">
        <v>38</v>
      </c>
      <c r="D881" t="s">
        <v>39</v>
      </c>
      <c r="E881">
        <v>508182197894.76001</v>
      </c>
      <c r="F881">
        <v>32612.97</v>
      </c>
      <c r="G881">
        <v>7997475187.3400002</v>
      </c>
      <c r="H881">
        <v>13840827</v>
      </c>
      <c r="I881">
        <v>16027777</v>
      </c>
      <c r="J881">
        <v>16230260</v>
      </c>
      <c r="K881">
        <v>55.59</v>
      </c>
      <c r="L881">
        <v>2.4300000000000002</v>
      </c>
      <c r="M881">
        <v>-13.49</v>
      </c>
      <c r="N881">
        <v>-20.07</v>
      </c>
      <c r="O881">
        <v>130</v>
      </c>
      <c r="P881" t="s">
        <v>46</v>
      </c>
      <c r="Q881" t="s">
        <v>34</v>
      </c>
      <c r="R881" t="s">
        <v>29</v>
      </c>
      <c r="S881">
        <v>2013</v>
      </c>
      <c r="T881" t="s">
        <v>36</v>
      </c>
      <c r="U881">
        <v>45529</v>
      </c>
      <c r="V881">
        <v>50.12</v>
      </c>
      <c r="W881">
        <v>94.03</v>
      </c>
      <c r="X881">
        <v>48.27</v>
      </c>
      <c r="Y881">
        <v>56.55</v>
      </c>
    </row>
    <row r="882" spans="1:25" x14ac:dyDescent="0.3">
      <c r="A882" t="s">
        <v>249</v>
      </c>
      <c r="B882" t="str">
        <f t="shared" si="13"/>
        <v>May</v>
      </c>
      <c r="C882" t="s">
        <v>32</v>
      </c>
      <c r="D882" t="s">
        <v>33</v>
      </c>
      <c r="E882">
        <v>736618822642.31006</v>
      </c>
      <c r="F882">
        <v>51960.95</v>
      </c>
      <c r="G882">
        <v>178785838.37</v>
      </c>
      <c r="H882">
        <v>2133658</v>
      </c>
      <c r="I882">
        <v>3796957</v>
      </c>
      <c r="J882">
        <v>4032552</v>
      </c>
      <c r="K882">
        <v>31.06</v>
      </c>
      <c r="L882">
        <v>1.74</v>
      </c>
      <c r="M882">
        <v>-17.329999999999998</v>
      </c>
      <c r="N882">
        <v>-34.17</v>
      </c>
      <c r="O882">
        <v>170</v>
      </c>
      <c r="P882" t="s">
        <v>40</v>
      </c>
      <c r="Q882" t="s">
        <v>28</v>
      </c>
      <c r="R882" t="s">
        <v>29</v>
      </c>
      <c r="S882">
        <v>2020</v>
      </c>
      <c r="T882" t="s">
        <v>36</v>
      </c>
      <c r="U882">
        <v>8539</v>
      </c>
      <c r="V882">
        <v>83.32</v>
      </c>
      <c r="W882">
        <v>41.65</v>
      </c>
      <c r="X882">
        <v>46.25</v>
      </c>
      <c r="Y882">
        <v>96.86</v>
      </c>
    </row>
    <row r="883" spans="1:25" x14ac:dyDescent="0.3">
      <c r="A883" t="s">
        <v>408</v>
      </c>
      <c r="B883" t="str">
        <f t="shared" si="13"/>
        <v>Sep</v>
      </c>
      <c r="C883" t="s">
        <v>25</v>
      </c>
      <c r="D883" t="s">
        <v>26</v>
      </c>
      <c r="E883">
        <v>845242832158.59998</v>
      </c>
      <c r="F883">
        <v>55649.17</v>
      </c>
      <c r="G883">
        <v>27391489479.310001</v>
      </c>
      <c r="H883">
        <v>17867186</v>
      </c>
      <c r="I883">
        <v>22626706</v>
      </c>
      <c r="J883">
        <v>23567088</v>
      </c>
      <c r="K883">
        <v>49.46</v>
      </c>
      <c r="L883">
        <v>-2.64</v>
      </c>
      <c r="M883">
        <v>-15.59</v>
      </c>
      <c r="N883">
        <v>7.43</v>
      </c>
      <c r="O883">
        <v>136</v>
      </c>
      <c r="P883" t="s">
        <v>51</v>
      </c>
      <c r="Q883" t="s">
        <v>28</v>
      </c>
      <c r="R883" t="s">
        <v>29</v>
      </c>
      <c r="S883">
        <v>2011</v>
      </c>
      <c r="T883" t="s">
        <v>30</v>
      </c>
      <c r="U883">
        <v>1970</v>
      </c>
      <c r="V883">
        <v>87.37</v>
      </c>
      <c r="W883">
        <v>73.66</v>
      </c>
      <c r="X883">
        <v>81.47</v>
      </c>
      <c r="Y883">
        <v>54.62</v>
      </c>
    </row>
    <row r="884" spans="1:25" x14ac:dyDescent="0.3">
      <c r="A884" t="s">
        <v>279</v>
      </c>
      <c r="B884" t="str">
        <f t="shared" si="13"/>
        <v>Nov</v>
      </c>
      <c r="C884" t="s">
        <v>38</v>
      </c>
      <c r="D884" t="s">
        <v>39</v>
      </c>
      <c r="E884">
        <v>581917896500.34998</v>
      </c>
      <c r="F884">
        <v>65530.75</v>
      </c>
      <c r="G884">
        <v>12750561709.610001</v>
      </c>
      <c r="H884">
        <v>3516385</v>
      </c>
      <c r="I884">
        <v>7197389</v>
      </c>
      <c r="J884">
        <v>8078448</v>
      </c>
      <c r="K884">
        <v>7.84</v>
      </c>
      <c r="L884">
        <v>0.81</v>
      </c>
      <c r="M884">
        <v>9.8800000000000008</v>
      </c>
      <c r="N884">
        <v>36.4</v>
      </c>
      <c r="O884">
        <v>40</v>
      </c>
      <c r="P884" t="s">
        <v>46</v>
      </c>
      <c r="Q884" t="s">
        <v>34</v>
      </c>
      <c r="R884" t="s">
        <v>74</v>
      </c>
      <c r="S884">
        <v>2023</v>
      </c>
      <c r="T884" t="s">
        <v>36</v>
      </c>
      <c r="U884">
        <v>44308</v>
      </c>
      <c r="V884">
        <v>41.17</v>
      </c>
      <c r="W884">
        <v>76.69</v>
      </c>
      <c r="X884">
        <v>96.86</v>
      </c>
      <c r="Y884">
        <v>11.68</v>
      </c>
    </row>
    <row r="885" spans="1:25" x14ac:dyDescent="0.3">
      <c r="A885" t="s">
        <v>363</v>
      </c>
      <c r="B885" t="str">
        <f t="shared" si="13"/>
        <v>Apr</v>
      </c>
      <c r="C885" t="s">
        <v>60</v>
      </c>
      <c r="D885" t="s">
        <v>61</v>
      </c>
      <c r="E885">
        <v>523006696040.65997</v>
      </c>
      <c r="F885">
        <v>56478.73</v>
      </c>
      <c r="G885">
        <v>35761453952.550003</v>
      </c>
      <c r="H885">
        <v>9479417</v>
      </c>
      <c r="I885">
        <v>12426299</v>
      </c>
      <c r="J885">
        <v>12736953</v>
      </c>
      <c r="K885">
        <v>39.01</v>
      </c>
      <c r="L885">
        <v>-3.55</v>
      </c>
      <c r="M885">
        <v>6.55</v>
      </c>
      <c r="N885">
        <v>4.76</v>
      </c>
      <c r="O885">
        <v>156</v>
      </c>
      <c r="P885" t="s">
        <v>51</v>
      </c>
      <c r="Q885" t="s">
        <v>28</v>
      </c>
      <c r="R885" t="s">
        <v>29</v>
      </c>
      <c r="S885">
        <v>2021</v>
      </c>
      <c r="T885" t="s">
        <v>30</v>
      </c>
      <c r="U885">
        <v>57577</v>
      </c>
      <c r="V885">
        <v>97.23</v>
      </c>
      <c r="W885">
        <v>78.459999999999994</v>
      </c>
      <c r="X885">
        <v>57.45</v>
      </c>
      <c r="Y885">
        <v>34.25</v>
      </c>
    </row>
    <row r="886" spans="1:25" x14ac:dyDescent="0.3">
      <c r="A886" t="s">
        <v>193</v>
      </c>
      <c r="B886" t="str">
        <f t="shared" si="13"/>
        <v>Oct</v>
      </c>
      <c r="C886" t="s">
        <v>44</v>
      </c>
      <c r="D886" t="s">
        <v>45</v>
      </c>
      <c r="E886">
        <v>681027546941.31006</v>
      </c>
      <c r="F886">
        <v>57221.79</v>
      </c>
      <c r="G886">
        <v>3990581264.04</v>
      </c>
      <c r="H886">
        <v>1865294</v>
      </c>
      <c r="I886">
        <v>4677576</v>
      </c>
      <c r="J886">
        <v>5495234</v>
      </c>
      <c r="K886">
        <v>53.84</v>
      </c>
      <c r="L886">
        <v>-3.93</v>
      </c>
      <c r="M886">
        <v>-13.96</v>
      </c>
      <c r="N886">
        <v>10.95</v>
      </c>
      <c r="O886">
        <v>144</v>
      </c>
      <c r="P886" t="s">
        <v>46</v>
      </c>
      <c r="Q886" t="s">
        <v>57</v>
      </c>
      <c r="R886" t="s">
        <v>64</v>
      </c>
      <c r="S886">
        <v>2022</v>
      </c>
      <c r="T886" t="s">
        <v>36</v>
      </c>
      <c r="U886">
        <v>38549</v>
      </c>
      <c r="V886">
        <v>48.85</v>
      </c>
      <c r="W886">
        <v>66.400000000000006</v>
      </c>
      <c r="X886">
        <v>45.58</v>
      </c>
      <c r="Y886">
        <v>23.45</v>
      </c>
    </row>
    <row r="887" spans="1:25" x14ac:dyDescent="0.3">
      <c r="A887" t="s">
        <v>209</v>
      </c>
      <c r="B887" t="str">
        <f t="shared" si="13"/>
        <v>Dec</v>
      </c>
      <c r="C887" t="s">
        <v>32</v>
      </c>
      <c r="D887" t="s">
        <v>33</v>
      </c>
      <c r="E887">
        <v>24431647304.209999</v>
      </c>
      <c r="F887">
        <v>31880.62</v>
      </c>
      <c r="G887">
        <v>556122774.97000003</v>
      </c>
      <c r="H887">
        <v>15441406</v>
      </c>
      <c r="I887">
        <v>16115674</v>
      </c>
      <c r="J887">
        <v>17055454</v>
      </c>
      <c r="K887">
        <v>46.58</v>
      </c>
      <c r="L887">
        <v>-4.24</v>
      </c>
      <c r="M887">
        <v>17.57</v>
      </c>
      <c r="N887">
        <v>36.36</v>
      </c>
      <c r="O887">
        <v>16</v>
      </c>
      <c r="P887" t="s">
        <v>53</v>
      </c>
      <c r="Q887" t="s">
        <v>28</v>
      </c>
      <c r="R887" t="s">
        <v>42</v>
      </c>
      <c r="S887">
        <v>2023</v>
      </c>
      <c r="T887" t="s">
        <v>36</v>
      </c>
      <c r="U887">
        <v>9130</v>
      </c>
      <c r="V887">
        <v>15.88</v>
      </c>
      <c r="W887">
        <v>78.84</v>
      </c>
      <c r="X887">
        <v>70.67</v>
      </c>
      <c r="Y887">
        <v>72.45</v>
      </c>
    </row>
    <row r="888" spans="1:25" x14ac:dyDescent="0.3">
      <c r="A888" t="s">
        <v>286</v>
      </c>
      <c r="B888" t="str">
        <f t="shared" si="13"/>
        <v>Mar</v>
      </c>
      <c r="C888" t="s">
        <v>78</v>
      </c>
      <c r="D888" t="s">
        <v>79</v>
      </c>
      <c r="E888">
        <v>188752606768.84</v>
      </c>
      <c r="F888">
        <v>32521.47</v>
      </c>
      <c r="G888">
        <v>25604877120.759998</v>
      </c>
      <c r="H888">
        <v>16810130</v>
      </c>
      <c r="I888">
        <v>21279794</v>
      </c>
      <c r="J888">
        <v>21757873</v>
      </c>
      <c r="K888">
        <v>58.6</v>
      </c>
      <c r="L888">
        <v>4.8</v>
      </c>
      <c r="M888">
        <v>-18.04</v>
      </c>
      <c r="N888">
        <v>25.97</v>
      </c>
      <c r="O888">
        <v>181</v>
      </c>
      <c r="P888" t="s">
        <v>27</v>
      </c>
      <c r="Q888" t="s">
        <v>47</v>
      </c>
      <c r="R888" t="s">
        <v>42</v>
      </c>
      <c r="S888">
        <v>2018</v>
      </c>
      <c r="T888" t="s">
        <v>36</v>
      </c>
      <c r="U888">
        <v>14017</v>
      </c>
      <c r="V888">
        <v>19.73</v>
      </c>
      <c r="W888">
        <v>98.9</v>
      </c>
      <c r="X888">
        <v>31.24</v>
      </c>
      <c r="Y888">
        <v>43.96</v>
      </c>
    </row>
    <row r="889" spans="1:25" x14ac:dyDescent="0.3">
      <c r="A889" t="s">
        <v>230</v>
      </c>
      <c r="B889" t="str">
        <f t="shared" si="13"/>
        <v>Apr</v>
      </c>
      <c r="C889" t="s">
        <v>49</v>
      </c>
      <c r="D889" t="s">
        <v>50</v>
      </c>
      <c r="E889">
        <v>176238226320.73001</v>
      </c>
      <c r="F889">
        <v>36436.71</v>
      </c>
      <c r="G889">
        <v>36833840543.510002</v>
      </c>
      <c r="H889">
        <v>17023031</v>
      </c>
      <c r="I889">
        <v>19599035</v>
      </c>
      <c r="J889">
        <v>20202381</v>
      </c>
      <c r="K889">
        <v>15.44</v>
      </c>
      <c r="L889">
        <v>-2.79</v>
      </c>
      <c r="M889">
        <v>18.149999999999999</v>
      </c>
      <c r="N889">
        <v>18.18</v>
      </c>
      <c r="O889">
        <v>185</v>
      </c>
      <c r="P889" t="s">
        <v>27</v>
      </c>
      <c r="Q889" t="s">
        <v>47</v>
      </c>
      <c r="R889" t="s">
        <v>29</v>
      </c>
      <c r="S889">
        <v>2012</v>
      </c>
      <c r="T889" t="s">
        <v>36</v>
      </c>
      <c r="U889">
        <v>11626</v>
      </c>
      <c r="V889">
        <v>36.520000000000003</v>
      </c>
      <c r="W889">
        <v>25.09</v>
      </c>
      <c r="X889">
        <v>82.66</v>
      </c>
      <c r="Y889">
        <v>50.01</v>
      </c>
    </row>
    <row r="890" spans="1:25" x14ac:dyDescent="0.3">
      <c r="A890" t="s">
        <v>143</v>
      </c>
      <c r="B890" t="str">
        <f t="shared" si="13"/>
        <v>Jun</v>
      </c>
      <c r="C890" t="s">
        <v>90</v>
      </c>
      <c r="D890" t="s">
        <v>91</v>
      </c>
      <c r="E890">
        <v>627047598001.29004</v>
      </c>
      <c r="F890">
        <v>45980.44</v>
      </c>
      <c r="G890">
        <v>7844240700.4499998</v>
      </c>
      <c r="H890">
        <v>17246238</v>
      </c>
      <c r="I890">
        <v>21753643</v>
      </c>
      <c r="J890">
        <v>22692801</v>
      </c>
      <c r="K890">
        <v>38.17</v>
      </c>
      <c r="L890">
        <v>-3.7</v>
      </c>
      <c r="M890">
        <v>15.08</v>
      </c>
      <c r="N890">
        <v>-16.87</v>
      </c>
      <c r="O890">
        <v>175</v>
      </c>
      <c r="P890" t="s">
        <v>27</v>
      </c>
      <c r="Q890" t="s">
        <v>28</v>
      </c>
      <c r="R890" t="s">
        <v>35</v>
      </c>
      <c r="S890">
        <v>2010</v>
      </c>
      <c r="T890" t="s">
        <v>30</v>
      </c>
      <c r="U890">
        <v>31743</v>
      </c>
      <c r="V890">
        <v>64.87</v>
      </c>
      <c r="W890">
        <v>78.95</v>
      </c>
      <c r="X890">
        <v>52.29</v>
      </c>
      <c r="Y890">
        <v>13.95</v>
      </c>
    </row>
    <row r="891" spans="1:25" x14ac:dyDescent="0.3">
      <c r="A891" t="s">
        <v>311</v>
      </c>
      <c r="B891" t="str">
        <f t="shared" si="13"/>
        <v>Jan</v>
      </c>
      <c r="C891" t="s">
        <v>25</v>
      </c>
      <c r="D891" t="s">
        <v>26</v>
      </c>
      <c r="E891">
        <v>332390363445.70001</v>
      </c>
      <c r="F891">
        <v>14237.14</v>
      </c>
      <c r="G891">
        <v>4271444948.1199999</v>
      </c>
      <c r="H891">
        <v>13365187</v>
      </c>
      <c r="I891">
        <v>14297881</v>
      </c>
      <c r="J891">
        <v>14448576</v>
      </c>
      <c r="K891">
        <v>53.04</v>
      </c>
      <c r="L891">
        <v>-4.34</v>
      </c>
      <c r="M891">
        <v>-14.79</v>
      </c>
      <c r="N891">
        <v>9.98</v>
      </c>
      <c r="O891">
        <v>36</v>
      </c>
      <c r="P891" t="s">
        <v>51</v>
      </c>
      <c r="Q891" t="s">
        <v>41</v>
      </c>
      <c r="R891" t="s">
        <v>42</v>
      </c>
      <c r="S891">
        <v>2016</v>
      </c>
      <c r="T891" t="s">
        <v>30</v>
      </c>
      <c r="U891">
        <v>2318</v>
      </c>
      <c r="V891">
        <v>96.83</v>
      </c>
      <c r="W891">
        <v>23.68</v>
      </c>
      <c r="X891">
        <v>62.62</v>
      </c>
      <c r="Y891">
        <v>24.01</v>
      </c>
    </row>
    <row r="892" spans="1:25" x14ac:dyDescent="0.3">
      <c r="A892" t="s">
        <v>311</v>
      </c>
      <c r="B892" t="str">
        <f t="shared" si="13"/>
        <v>Jan</v>
      </c>
      <c r="C892" t="s">
        <v>25</v>
      </c>
      <c r="D892" t="s">
        <v>26</v>
      </c>
      <c r="E892">
        <v>607597384243.72998</v>
      </c>
      <c r="F892">
        <v>20817.97</v>
      </c>
      <c r="G892">
        <v>23976213315.240002</v>
      </c>
      <c r="H892">
        <v>5445737</v>
      </c>
      <c r="I892">
        <v>8080773</v>
      </c>
      <c r="J892">
        <v>8406541</v>
      </c>
      <c r="K892">
        <v>21.44</v>
      </c>
      <c r="L892">
        <v>1.66</v>
      </c>
      <c r="M892">
        <v>0.46</v>
      </c>
      <c r="N892">
        <v>19.559999999999999</v>
      </c>
      <c r="O892">
        <v>179</v>
      </c>
      <c r="P892" t="s">
        <v>51</v>
      </c>
      <c r="Q892" t="s">
        <v>34</v>
      </c>
      <c r="R892" t="s">
        <v>42</v>
      </c>
      <c r="S892">
        <v>2015</v>
      </c>
      <c r="T892" t="s">
        <v>30</v>
      </c>
      <c r="U892">
        <v>21064</v>
      </c>
      <c r="V892">
        <v>12.41</v>
      </c>
      <c r="W892">
        <v>24.36</v>
      </c>
      <c r="X892">
        <v>88.86</v>
      </c>
      <c r="Y892">
        <v>94.67</v>
      </c>
    </row>
    <row r="893" spans="1:25" x14ac:dyDescent="0.3">
      <c r="A893" t="s">
        <v>396</v>
      </c>
      <c r="B893" t="str">
        <f t="shared" si="13"/>
        <v>Dec</v>
      </c>
      <c r="C893" t="s">
        <v>49</v>
      </c>
      <c r="D893" t="s">
        <v>50</v>
      </c>
      <c r="E893">
        <v>664991647626.46997</v>
      </c>
      <c r="F893">
        <v>57171.22</v>
      </c>
      <c r="G893">
        <v>9919719734.0400009</v>
      </c>
      <c r="H893">
        <v>6716973</v>
      </c>
      <c r="I893">
        <v>10343702</v>
      </c>
      <c r="J893">
        <v>10817525</v>
      </c>
      <c r="K893">
        <v>44.2</v>
      </c>
      <c r="L893">
        <v>1.37</v>
      </c>
      <c r="M893">
        <v>16.47</v>
      </c>
      <c r="N893">
        <v>-31.22</v>
      </c>
      <c r="O893">
        <v>103</v>
      </c>
      <c r="P893" t="s">
        <v>40</v>
      </c>
      <c r="Q893" t="s">
        <v>28</v>
      </c>
      <c r="R893" t="s">
        <v>29</v>
      </c>
      <c r="S893">
        <v>2017</v>
      </c>
      <c r="T893" t="s">
        <v>36</v>
      </c>
      <c r="U893">
        <v>44744</v>
      </c>
      <c r="V893">
        <v>97.03</v>
      </c>
      <c r="W893">
        <v>38.6</v>
      </c>
      <c r="X893">
        <v>76.540000000000006</v>
      </c>
      <c r="Y893">
        <v>55.75</v>
      </c>
    </row>
    <row r="894" spans="1:25" x14ac:dyDescent="0.3">
      <c r="A894" t="s">
        <v>154</v>
      </c>
      <c r="B894" t="str">
        <f t="shared" si="13"/>
        <v>Mar</v>
      </c>
      <c r="C894" t="s">
        <v>60</v>
      </c>
      <c r="D894" t="s">
        <v>61</v>
      </c>
      <c r="E894">
        <v>38011105514.800003</v>
      </c>
      <c r="F894">
        <v>26039.200000000001</v>
      </c>
      <c r="G894">
        <v>20382525280.900002</v>
      </c>
      <c r="H894">
        <v>11776404</v>
      </c>
      <c r="I894">
        <v>13024048</v>
      </c>
      <c r="J894">
        <v>13446892</v>
      </c>
      <c r="K894">
        <v>30.79</v>
      </c>
      <c r="L894">
        <v>-3.93</v>
      </c>
      <c r="M894">
        <v>-2.71</v>
      </c>
      <c r="N894">
        <v>3.75</v>
      </c>
      <c r="O894">
        <v>121</v>
      </c>
      <c r="P894" t="s">
        <v>53</v>
      </c>
      <c r="Q894" t="s">
        <v>57</v>
      </c>
      <c r="R894" t="s">
        <v>64</v>
      </c>
      <c r="S894">
        <v>2020</v>
      </c>
      <c r="T894" t="s">
        <v>30</v>
      </c>
      <c r="U894">
        <v>63466</v>
      </c>
      <c r="V894">
        <v>84.06</v>
      </c>
      <c r="W894">
        <v>94.96</v>
      </c>
      <c r="X894">
        <v>33.18</v>
      </c>
      <c r="Y894">
        <v>17.07</v>
      </c>
    </row>
    <row r="895" spans="1:25" x14ac:dyDescent="0.3">
      <c r="A895" t="s">
        <v>299</v>
      </c>
      <c r="B895" t="str">
        <f t="shared" si="13"/>
        <v>Nov</v>
      </c>
      <c r="C895" t="s">
        <v>60</v>
      </c>
      <c r="D895" t="s">
        <v>61</v>
      </c>
      <c r="E895">
        <v>632251589794.19995</v>
      </c>
      <c r="F895">
        <v>6650.13</v>
      </c>
      <c r="G895">
        <v>22193292506.68</v>
      </c>
      <c r="H895">
        <v>4479754</v>
      </c>
      <c r="I895">
        <v>6054166</v>
      </c>
      <c r="J895">
        <v>6411646</v>
      </c>
      <c r="K895">
        <v>57.22</v>
      </c>
      <c r="L895">
        <v>2.73</v>
      </c>
      <c r="M895">
        <v>4.43</v>
      </c>
      <c r="N895">
        <v>-4.68</v>
      </c>
      <c r="O895">
        <v>24</v>
      </c>
      <c r="P895" t="s">
        <v>27</v>
      </c>
      <c r="Q895" t="s">
        <v>57</v>
      </c>
      <c r="R895" t="s">
        <v>64</v>
      </c>
      <c r="S895">
        <v>2010</v>
      </c>
      <c r="T895" t="s">
        <v>30</v>
      </c>
      <c r="U895">
        <v>11654</v>
      </c>
      <c r="V895">
        <v>46.75</v>
      </c>
      <c r="W895">
        <v>89.76</v>
      </c>
      <c r="X895">
        <v>70.03</v>
      </c>
      <c r="Y895">
        <v>12.93</v>
      </c>
    </row>
    <row r="896" spans="1:25" x14ac:dyDescent="0.3">
      <c r="A896" t="s">
        <v>352</v>
      </c>
      <c r="B896" t="str">
        <f t="shared" si="13"/>
        <v>Oct</v>
      </c>
      <c r="C896" t="s">
        <v>55</v>
      </c>
      <c r="D896" t="s">
        <v>56</v>
      </c>
      <c r="E896">
        <v>417179388999.47998</v>
      </c>
      <c r="F896">
        <v>15011.66</v>
      </c>
      <c r="G896">
        <v>28168082131.459999</v>
      </c>
      <c r="H896">
        <v>12520080</v>
      </c>
      <c r="I896">
        <v>14471303</v>
      </c>
      <c r="J896">
        <v>14764202</v>
      </c>
      <c r="K896">
        <v>46.15</v>
      </c>
      <c r="L896">
        <v>-2.2000000000000002</v>
      </c>
      <c r="M896">
        <v>-13.27</v>
      </c>
      <c r="N896">
        <v>12.53</v>
      </c>
      <c r="O896">
        <v>11</v>
      </c>
      <c r="P896" t="s">
        <v>51</v>
      </c>
      <c r="Q896" t="s">
        <v>41</v>
      </c>
      <c r="R896" t="s">
        <v>42</v>
      </c>
      <c r="S896">
        <v>2023</v>
      </c>
      <c r="T896" t="s">
        <v>58</v>
      </c>
      <c r="U896">
        <v>7054</v>
      </c>
      <c r="V896">
        <v>90.51</v>
      </c>
      <c r="W896">
        <v>37.78</v>
      </c>
      <c r="X896">
        <v>59.64</v>
      </c>
      <c r="Y896">
        <v>80.58</v>
      </c>
    </row>
    <row r="897" spans="1:25" x14ac:dyDescent="0.3">
      <c r="A897" t="s">
        <v>93</v>
      </c>
      <c r="B897" t="str">
        <f t="shared" si="13"/>
        <v>Jan</v>
      </c>
      <c r="C897" t="s">
        <v>68</v>
      </c>
      <c r="D897" t="s">
        <v>69</v>
      </c>
      <c r="E897">
        <v>296788230013.45001</v>
      </c>
      <c r="F897">
        <v>49732.43</v>
      </c>
      <c r="G897">
        <v>15208294105.459999</v>
      </c>
      <c r="H897">
        <v>15991625</v>
      </c>
      <c r="I897">
        <v>18147339</v>
      </c>
      <c r="J897">
        <v>18725034</v>
      </c>
      <c r="K897">
        <v>1.31</v>
      </c>
      <c r="L897">
        <v>2.57</v>
      </c>
      <c r="M897">
        <v>11.98</v>
      </c>
      <c r="N897">
        <v>-15.54</v>
      </c>
      <c r="O897">
        <v>101</v>
      </c>
      <c r="P897" t="s">
        <v>51</v>
      </c>
      <c r="Q897" t="s">
        <v>57</v>
      </c>
      <c r="R897" t="s">
        <v>74</v>
      </c>
      <c r="S897">
        <v>2013</v>
      </c>
      <c r="T897" t="s">
        <v>36</v>
      </c>
      <c r="U897">
        <v>51365</v>
      </c>
      <c r="V897">
        <v>41.24</v>
      </c>
      <c r="W897">
        <v>51.32</v>
      </c>
      <c r="X897">
        <v>33.33</v>
      </c>
      <c r="Y897">
        <v>69.489999999999995</v>
      </c>
    </row>
    <row r="898" spans="1:25" x14ac:dyDescent="0.3">
      <c r="A898" t="s">
        <v>264</v>
      </c>
      <c r="B898" t="str">
        <f t="shared" ref="B898:B961" si="14">TEXT(A898,"MMM")</f>
        <v>Feb</v>
      </c>
      <c r="C898" t="s">
        <v>25</v>
      </c>
      <c r="D898" t="s">
        <v>26</v>
      </c>
      <c r="E898">
        <v>164510085291.56</v>
      </c>
      <c r="F898">
        <v>44901.88</v>
      </c>
      <c r="G898">
        <v>2290307552.29</v>
      </c>
      <c r="H898">
        <v>9656088</v>
      </c>
      <c r="I898">
        <v>12959712</v>
      </c>
      <c r="J898">
        <v>13713434</v>
      </c>
      <c r="K898">
        <v>45.08</v>
      </c>
      <c r="L898">
        <v>1.33</v>
      </c>
      <c r="M898">
        <v>1.64</v>
      </c>
      <c r="N898">
        <v>12.17</v>
      </c>
      <c r="O898">
        <v>68</v>
      </c>
      <c r="P898" t="s">
        <v>46</v>
      </c>
      <c r="Q898" t="s">
        <v>41</v>
      </c>
      <c r="R898" t="s">
        <v>64</v>
      </c>
      <c r="S898">
        <v>2022</v>
      </c>
      <c r="T898" t="s">
        <v>30</v>
      </c>
      <c r="U898">
        <v>31059</v>
      </c>
      <c r="V898">
        <v>56.04</v>
      </c>
      <c r="W898">
        <v>44.33</v>
      </c>
      <c r="X898">
        <v>32.54</v>
      </c>
      <c r="Y898">
        <v>45.56</v>
      </c>
    </row>
    <row r="899" spans="1:25" x14ac:dyDescent="0.3">
      <c r="A899" t="s">
        <v>83</v>
      </c>
      <c r="B899" t="str">
        <f t="shared" si="14"/>
        <v>Jan</v>
      </c>
      <c r="C899" t="s">
        <v>25</v>
      </c>
      <c r="D899" t="s">
        <v>26</v>
      </c>
      <c r="E899">
        <v>105800967358.99001</v>
      </c>
      <c r="F899">
        <v>46629.31</v>
      </c>
      <c r="G899">
        <v>47168548402.220001</v>
      </c>
      <c r="H899">
        <v>9017504</v>
      </c>
      <c r="I899">
        <v>10602868</v>
      </c>
      <c r="J899">
        <v>11475518</v>
      </c>
      <c r="K899">
        <v>59.84</v>
      </c>
      <c r="L899">
        <v>3.47</v>
      </c>
      <c r="M899">
        <v>-1.62</v>
      </c>
      <c r="N899">
        <v>-7.04</v>
      </c>
      <c r="O899">
        <v>40</v>
      </c>
      <c r="P899" t="s">
        <v>51</v>
      </c>
      <c r="Q899" t="s">
        <v>34</v>
      </c>
      <c r="R899" t="s">
        <v>29</v>
      </c>
      <c r="S899">
        <v>2015</v>
      </c>
      <c r="T899" t="s">
        <v>30</v>
      </c>
      <c r="U899">
        <v>44447</v>
      </c>
      <c r="V899">
        <v>37.94</v>
      </c>
      <c r="W899">
        <v>88.87</v>
      </c>
      <c r="X899">
        <v>92.76</v>
      </c>
      <c r="Y899">
        <v>25.74</v>
      </c>
    </row>
    <row r="900" spans="1:25" x14ac:dyDescent="0.3">
      <c r="A900" t="s">
        <v>189</v>
      </c>
      <c r="B900" t="str">
        <f t="shared" si="14"/>
        <v>Sep</v>
      </c>
      <c r="C900" t="s">
        <v>78</v>
      </c>
      <c r="D900" t="s">
        <v>79</v>
      </c>
      <c r="E900">
        <v>63746959326.080002</v>
      </c>
      <c r="F900">
        <v>43965.08</v>
      </c>
      <c r="G900">
        <v>2422810980.1599998</v>
      </c>
      <c r="H900">
        <v>8299532</v>
      </c>
      <c r="I900">
        <v>9166830</v>
      </c>
      <c r="J900">
        <v>9318196</v>
      </c>
      <c r="K900">
        <v>30.93</v>
      </c>
      <c r="L900">
        <v>-2</v>
      </c>
      <c r="M900">
        <v>-13.51</v>
      </c>
      <c r="N900">
        <v>35.799999999999997</v>
      </c>
      <c r="O900">
        <v>2</v>
      </c>
      <c r="P900" t="s">
        <v>53</v>
      </c>
      <c r="Q900" t="s">
        <v>28</v>
      </c>
      <c r="R900" t="s">
        <v>29</v>
      </c>
      <c r="S900">
        <v>2019</v>
      </c>
      <c r="T900" t="s">
        <v>36</v>
      </c>
      <c r="U900">
        <v>8025</v>
      </c>
      <c r="V900">
        <v>34.85</v>
      </c>
      <c r="W900">
        <v>72.7</v>
      </c>
      <c r="X900">
        <v>78.650000000000006</v>
      </c>
      <c r="Y900">
        <v>98.22</v>
      </c>
    </row>
    <row r="901" spans="1:25" x14ac:dyDescent="0.3">
      <c r="A901" t="s">
        <v>369</v>
      </c>
      <c r="B901" t="str">
        <f t="shared" si="14"/>
        <v>Oct</v>
      </c>
      <c r="C901" t="s">
        <v>38</v>
      </c>
      <c r="D901" t="s">
        <v>39</v>
      </c>
      <c r="E901">
        <v>313988153038.5</v>
      </c>
      <c r="F901">
        <v>28402.9</v>
      </c>
      <c r="G901">
        <v>42390434887.779999</v>
      </c>
      <c r="H901">
        <v>17245031</v>
      </c>
      <c r="I901">
        <v>21225823</v>
      </c>
      <c r="J901">
        <v>21496193</v>
      </c>
      <c r="K901">
        <v>50.71</v>
      </c>
      <c r="L901">
        <v>-2.4</v>
      </c>
      <c r="M901">
        <v>13.26</v>
      </c>
      <c r="N901">
        <v>-7.42</v>
      </c>
      <c r="O901">
        <v>164</v>
      </c>
      <c r="P901" t="s">
        <v>46</v>
      </c>
      <c r="Q901" t="s">
        <v>47</v>
      </c>
      <c r="R901" t="s">
        <v>74</v>
      </c>
      <c r="S901">
        <v>2014</v>
      </c>
      <c r="T901" t="s">
        <v>36</v>
      </c>
      <c r="U901">
        <v>5346</v>
      </c>
      <c r="V901">
        <v>61.49</v>
      </c>
      <c r="W901">
        <v>82.44</v>
      </c>
      <c r="X901">
        <v>40.24</v>
      </c>
      <c r="Y901">
        <v>89.19</v>
      </c>
    </row>
    <row r="902" spans="1:25" x14ac:dyDescent="0.3">
      <c r="A902" t="s">
        <v>169</v>
      </c>
      <c r="B902" t="str">
        <f t="shared" si="14"/>
        <v>Apr</v>
      </c>
      <c r="C902" t="s">
        <v>90</v>
      </c>
      <c r="D902" t="s">
        <v>91</v>
      </c>
      <c r="E902">
        <v>647735759083.84998</v>
      </c>
      <c r="F902">
        <v>25629.21</v>
      </c>
      <c r="G902">
        <v>46828314768.330002</v>
      </c>
      <c r="H902">
        <v>18269156</v>
      </c>
      <c r="I902">
        <v>20303217</v>
      </c>
      <c r="J902">
        <v>20380192</v>
      </c>
      <c r="K902">
        <v>13.19</v>
      </c>
      <c r="L902">
        <v>0.09</v>
      </c>
      <c r="M902">
        <v>18.829999999999998</v>
      </c>
      <c r="N902">
        <v>-27.81</v>
      </c>
      <c r="O902">
        <v>156</v>
      </c>
      <c r="P902" t="s">
        <v>46</v>
      </c>
      <c r="Q902" t="s">
        <v>41</v>
      </c>
      <c r="R902" t="s">
        <v>64</v>
      </c>
      <c r="S902">
        <v>2018</v>
      </c>
      <c r="T902" t="s">
        <v>30</v>
      </c>
      <c r="U902">
        <v>13265</v>
      </c>
      <c r="V902">
        <v>31.41</v>
      </c>
      <c r="W902">
        <v>74.22</v>
      </c>
      <c r="X902">
        <v>94.04</v>
      </c>
      <c r="Y902">
        <v>10.4</v>
      </c>
    </row>
    <row r="903" spans="1:25" x14ac:dyDescent="0.3">
      <c r="A903" t="s">
        <v>411</v>
      </c>
      <c r="B903" t="str">
        <f t="shared" si="14"/>
        <v>May</v>
      </c>
      <c r="C903" t="s">
        <v>44</v>
      </c>
      <c r="D903" t="s">
        <v>45</v>
      </c>
      <c r="E903">
        <v>822278435134.35999</v>
      </c>
      <c r="F903">
        <v>15719.32</v>
      </c>
      <c r="G903">
        <v>17280246416.52</v>
      </c>
      <c r="H903">
        <v>10842862</v>
      </c>
      <c r="I903">
        <v>14319929</v>
      </c>
      <c r="J903">
        <v>15047727</v>
      </c>
      <c r="K903">
        <v>26.21</v>
      </c>
      <c r="L903">
        <v>-2.54</v>
      </c>
      <c r="M903">
        <v>19.25</v>
      </c>
      <c r="N903">
        <v>0.32</v>
      </c>
      <c r="O903">
        <v>2</v>
      </c>
      <c r="P903" t="s">
        <v>40</v>
      </c>
      <c r="Q903" t="s">
        <v>28</v>
      </c>
      <c r="R903" t="s">
        <v>42</v>
      </c>
      <c r="S903">
        <v>2022</v>
      </c>
      <c r="T903" t="s">
        <v>36</v>
      </c>
      <c r="U903">
        <v>17546</v>
      </c>
      <c r="V903">
        <v>45.9</v>
      </c>
      <c r="W903">
        <v>33.46</v>
      </c>
      <c r="X903">
        <v>73.12</v>
      </c>
      <c r="Y903">
        <v>74.75</v>
      </c>
    </row>
    <row r="904" spans="1:25" x14ac:dyDescent="0.3">
      <c r="A904" t="s">
        <v>200</v>
      </c>
      <c r="B904" t="str">
        <f t="shared" si="14"/>
        <v>Apr</v>
      </c>
      <c r="C904" t="s">
        <v>44</v>
      </c>
      <c r="D904" t="s">
        <v>45</v>
      </c>
      <c r="E904">
        <v>531556252552.70001</v>
      </c>
      <c r="F904">
        <v>9364.99</v>
      </c>
      <c r="G904">
        <v>4198105571.2199998</v>
      </c>
      <c r="H904">
        <v>14827611</v>
      </c>
      <c r="I904">
        <v>18237612</v>
      </c>
      <c r="J904">
        <v>18431903</v>
      </c>
      <c r="K904">
        <v>26.25</v>
      </c>
      <c r="L904">
        <v>-4.84</v>
      </c>
      <c r="M904">
        <v>-6.28</v>
      </c>
      <c r="N904">
        <v>-2.4500000000000002</v>
      </c>
      <c r="O904">
        <v>47</v>
      </c>
      <c r="P904" t="s">
        <v>53</v>
      </c>
      <c r="Q904" t="s">
        <v>28</v>
      </c>
      <c r="R904" t="s">
        <v>35</v>
      </c>
      <c r="S904">
        <v>2012</v>
      </c>
      <c r="T904" t="s">
        <v>36</v>
      </c>
      <c r="U904">
        <v>39091</v>
      </c>
      <c r="V904">
        <v>33.72</v>
      </c>
      <c r="W904">
        <v>80.5</v>
      </c>
      <c r="X904">
        <v>71.02</v>
      </c>
      <c r="Y904">
        <v>38.75</v>
      </c>
    </row>
    <row r="905" spans="1:25" x14ac:dyDescent="0.3">
      <c r="A905" t="s">
        <v>73</v>
      </c>
      <c r="B905" t="str">
        <f t="shared" si="14"/>
        <v>May</v>
      </c>
      <c r="C905" t="s">
        <v>38</v>
      </c>
      <c r="D905" t="s">
        <v>39</v>
      </c>
      <c r="E905">
        <v>174169027938.19</v>
      </c>
      <c r="F905">
        <v>54591.25</v>
      </c>
      <c r="G905">
        <v>23285583413.34</v>
      </c>
      <c r="H905">
        <v>14737066</v>
      </c>
      <c r="I905">
        <v>15954394</v>
      </c>
      <c r="J905">
        <v>16326825</v>
      </c>
      <c r="K905">
        <v>26.65</v>
      </c>
      <c r="L905">
        <v>4.76</v>
      </c>
      <c r="M905">
        <v>-10.88</v>
      </c>
      <c r="N905">
        <v>-29.13</v>
      </c>
      <c r="O905">
        <v>64</v>
      </c>
      <c r="P905" t="s">
        <v>27</v>
      </c>
      <c r="Q905" t="s">
        <v>34</v>
      </c>
      <c r="R905" t="s">
        <v>42</v>
      </c>
      <c r="S905">
        <v>2020</v>
      </c>
      <c r="T905" t="s">
        <v>36</v>
      </c>
      <c r="U905">
        <v>10234</v>
      </c>
      <c r="V905">
        <v>70.099999999999994</v>
      </c>
      <c r="W905">
        <v>67.930000000000007</v>
      </c>
      <c r="X905">
        <v>41.93</v>
      </c>
      <c r="Y905">
        <v>41.92</v>
      </c>
    </row>
    <row r="906" spans="1:25" x14ac:dyDescent="0.3">
      <c r="A906" t="s">
        <v>75</v>
      </c>
      <c r="B906" t="str">
        <f t="shared" si="14"/>
        <v>Aug</v>
      </c>
      <c r="C906" t="s">
        <v>60</v>
      </c>
      <c r="D906" t="s">
        <v>61</v>
      </c>
      <c r="E906">
        <v>113738559520.34</v>
      </c>
      <c r="F906">
        <v>17713.25</v>
      </c>
      <c r="G906">
        <v>16084664497.059999</v>
      </c>
      <c r="H906">
        <v>15051957</v>
      </c>
      <c r="I906">
        <v>16318849</v>
      </c>
      <c r="J906">
        <v>17032450</v>
      </c>
      <c r="K906">
        <v>50.5</v>
      </c>
      <c r="L906">
        <v>-2.94</v>
      </c>
      <c r="M906">
        <v>-2.91</v>
      </c>
      <c r="N906">
        <v>-35.54</v>
      </c>
      <c r="O906">
        <v>178</v>
      </c>
      <c r="P906" t="s">
        <v>40</v>
      </c>
      <c r="Q906" t="s">
        <v>34</v>
      </c>
      <c r="R906" t="s">
        <v>42</v>
      </c>
      <c r="S906">
        <v>2017</v>
      </c>
      <c r="T906" t="s">
        <v>30</v>
      </c>
      <c r="U906">
        <v>16693</v>
      </c>
      <c r="V906">
        <v>56.27</v>
      </c>
      <c r="W906">
        <v>41.64</v>
      </c>
      <c r="X906">
        <v>55.98</v>
      </c>
      <c r="Y906">
        <v>97.45</v>
      </c>
    </row>
    <row r="907" spans="1:25" x14ac:dyDescent="0.3">
      <c r="A907" t="s">
        <v>81</v>
      </c>
      <c r="B907" t="str">
        <f t="shared" si="14"/>
        <v>Feb</v>
      </c>
      <c r="C907" t="s">
        <v>78</v>
      </c>
      <c r="D907" t="s">
        <v>79</v>
      </c>
      <c r="E907">
        <v>250047286919.94</v>
      </c>
      <c r="F907">
        <v>28157.49</v>
      </c>
      <c r="G907">
        <v>40096458345.739998</v>
      </c>
      <c r="H907">
        <v>13180472</v>
      </c>
      <c r="I907">
        <v>17603905</v>
      </c>
      <c r="J907">
        <v>17650049</v>
      </c>
      <c r="K907">
        <v>26.7</v>
      </c>
      <c r="L907">
        <v>-2.98</v>
      </c>
      <c r="M907">
        <v>-4.09</v>
      </c>
      <c r="N907">
        <v>28.4</v>
      </c>
      <c r="O907">
        <v>117</v>
      </c>
      <c r="P907" t="s">
        <v>53</v>
      </c>
      <c r="Q907" t="s">
        <v>34</v>
      </c>
      <c r="R907" t="s">
        <v>42</v>
      </c>
      <c r="S907">
        <v>2018</v>
      </c>
      <c r="T907" t="s">
        <v>36</v>
      </c>
      <c r="U907">
        <v>38595</v>
      </c>
      <c r="V907">
        <v>79.11</v>
      </c>
      <c r="W907">
        <v>51.76</v>
      </c>
      <c r="X907">
        <v>32.79</v>
      </c>
      <c r="Y907">
        <v>61.43</v>
      </c>
    </row>
    <row r="908" spans="1:25" x14ac:dyDescent="0.3">
      <c r="A908" t="s">
        <v>65</v>
      </c>
      <c r="B908" t="str">
        <f t="shared" si="14"/>
        <v>May</v>
      </c>
      <c r="C908" t="s">
        <v>49</v>
      </c>
      <c r="D908" t="s">
        <v>50</v>
      </c>
      <c r="E908">
        <v>786158810876.95996</v>
      </c>
      <c r="F908">
        <v>68085.05</v>
      </c>
      <c r="G908">
        <v>1427279646.9400001</v>
      </c>
      <c r="H908">
        <v>2954209</v>
      </c>
      <c r="I908">
        <v>5358891</v>
      </c>
      <c r="J908">
        <v>5799167</v>
      </c>
      <c r="K908">
        <v>44.54</v>
      </c>
      <c r="L908">
        <v>-2.74</v>
      </c>
      <c r="M908">
        <v>-4.66</v>
      </c>
      <c r="N908">
        <v>-36.08</v>
      </c>
      <c r="O908">
        <v>22</v>
      </c>
      <c r="P908" t="s">
        <v>53</v>
      </c>
      <c r="Q908" t="s">
        <v>28</v>
      </c>
      <c r="R908" t="s">
        <v>35</v>
      </c>
      <c r="S908">
        <v>2016</v>
      </c>
      <c r="T908" t="s">
        <v>36</v>
      </c>
      <c r="U908">
        <v>53441</v>
      </c>
      <c r="V908">
        <v>98.03</v>
      </c>
      <c r="W908">
        <v>76.94</v>
      </c>
      <c r="X908">
        <v>64.28</v>
      </c>
      <c r="Y908">
        <v>57.55</v>
      </c>
    </row>
    <row r="909" spans="1:25" x14ac:dyDescent="0.3">
      <c r="A909" t="s">
        <v>256</v>
      </c>
      <c r="B909" t="str">
        <f t="shared" si="14"/>
        <v>Jun</v>
      </c>
      <c r="C909" t="s">
        <v>55</v>
      </c>
      <c r="D909" t="s">
        <v>56</v>
      </c>
      <c r="E909">
        <v>281360243414.66998</v>
      </c>
      <c r="F909">
        <v>18157.45</v>
      </c>
      <c r="G909">
        <v>42333344169.190002</v>
      </c>
      <c r="H909">
        <v>6347874</v>
      </c>
      <c r="I909">
        <v>7584538</v>
      </c>
      <c r="J909">
        <v>7596796</v>
      </c>
      <c r="K909">
        <v>20.89</v>
      </c>
      <c r="L909">
        <v>4.88</v>
      </c>
      <c r="M909">
        <v>-9.7100000000000009</v>
      </c>
      <c r="N909">
        <v>-31.39</v>
      </c>
      <c r="O909">
        <v>44</v>
      </c>
      <c r="P909" t="s">
        <v>40</v>
      </c>
      <c r="Q909" t="s">
        <v>47</v>
      </c>
      <c r="R909" t="s">
        <v>35</v>
      </c>
      <c r="S909">
        <v>2015</v>
      </c>
      <c r="T909" t="s">
        <v>58</v>
      </c>
      <c r="U909">
        <v>25440</v>
      </c>
      <c r="V909">
        <v>89.29</v>
      </c>
      <c r="W909">
        <v>58.31</v>
      </c>
      <c r="X909">
        <v>90.91</v>
      </c>
      <c r="Y909">
        <v>23.59</v>
      </c>
    </row>
    <row r="910" spans="1:25" x14ac:dyDescent="0.3">
      <c r="A910" t="s">
        <v>102</v>
      </c>
      <c r="B910" t="str">
        <f t="shared" si="14"/>
        <v>Oct</v>
      </c>
      <c r="C910" t="s">
        <v>38</v>
      </c>
      <c r="D910" t="s">
        <v>39</v>
      </c>
      <c r="E910">
        <v>234791954371.51001</v>
      </c>
      <c r="F910">
        <v>53282.75</v>
      </c>
      <c r="G910">
        <v>25980798344.490002</v>
      </c>
      <c r="H910">
        <v>8430274</v>
      </c>
      <c r="I910">
        <v>8506797</v>
      </c>
      <c r="J910">
        <v>8874765</v>
      </c>
      <c r="K910">
        <v>32.15</v>
      </c>
      <c r="L910">
        <v>2.64</v>
      </c>
      <c r="M910">
        <v>16.5</v>
      </c>
      <c r="N910">
        <v>1.78</v>
      </c>
      <c r="O910">
        <v>193</v>
      </c>
      <c r="P910" t="s">
        <v>46</v>
      </c>
      <c r="Q910" t="s">
        <v>41</v>
      </c>
      <c r="R910" t="s">
        <v>64</v>
      </c>
      <c r="S910">
        <v>2021</v>
      </c>
      <c r="T910" t="s">
        <v>36</v>
      </c>
      <c r="U910">
        <v>28142</v>
      </c>
      <c r="V910">
        <v>43.33</v>
      </c>
      <c r="W910">
        <v>20.149999999999999</v>
      </c>
      <c r="X910">
        <v>59.54</v>
      </c>
      <c r="Y910">
        <v>69.3</v>
      </c>
    </row>
    <row r="911" spans="1:25" x14ac:dyDescent="0.3">
      <c r="A911" t="s">
        <v>124</v>
      </c>
      <c r="B911" t="str">
        <f t="shared" si="14"/>
        <v>Sep</v>
      </c>
      <c r="C911" t="s">
        <v>32</v>
      </c>
      <c r="D911" t="s">
        <v>33</v>
      </c>
      <c r="E911">
        <v>775705082190.81006</v>
      </c>
      <c r="F911">
        <v>11449.41</v>
      </c>
      <c r="G911">
        <v>40257760526.330002</v>
      </c>
      <c r="H911">
        <v>3804465</v>
      </c>
      <c r="I911">
        <v>5063347</v>
      </c>
      <c r="J911">
        <v>5517521</v>
      </c>
      <c r="K911">
        <v>4.96</v>
      </c>
      <c r="L911">
        <v>2.42</v>
      </c>
      <c r="M911">
        <v>-15.56</v>
      </c>
      <c r="N911">
        <v>-5.54</v>
      </c>
      <c r="O911">
        <v>43</v>
      </c>
      <c r="P911" t="s">
        <v>46</v>
      </c>
      <c r="Q911" t="s">
        <v>57</v>
      </c>
      <c r="R911" t="s">
        <v>64</v>
      </c>
      <c r="S911">
        <v>2022</v>
      </c>
      <c r="T911" t="s">
        <v>36</v>
      </c>
      <c r="U911">
        <v>47878</v>
      </c>
      <c r="V911">
        <v>86.28</v>
      </c>
      <c r="W911">
        <v>90.03</v>
      </c>
      <c r="X911">
        <v>10.47</v>
      </c>
      <c r="Y911">
        <v>31.89</v>
      </c>
    </row>
    <row r="912" spans="1:25" x14ac:dyDescent="0.3">
      <c r="A912" t="s">
        <v>70</v>
      </c>
      <c r="B912" t="str">
        <f t="shared" si="14"/>
        <v>Dec</v>
      </c>
      <c r="C912" t="s">
        <v>55</v>
      </c>
      <c r="D912" t="s">
        <v>56</v>
      </c>
      <c r="E912">
        <v>2684203220.3099999</v>
      </c>
      <c r="F912">
        <v>246.79</v>
      </c>
      <c r="G912">
        <v>37271441569.669998</v>
      </c>
      <c r="H912">
        <v>15777411</v>
      </c>
      <c r="I912">
        <v>16909840</v>
      </c>
      <c r="J912">
        <v>17230882</v>
      </c>
      <c r="K912">
        <v>4.09</v>
      </c>
      <c r="L912">
        <v>-0.3</v>
      </c>
      <c r="M912">
        <v>14.43</v>
      </c>
      <c r="N912">
        <v>-38.85</v>
      </c>
      <c r="O912">
        <v>102</v>
      </c>
      <c r="P912" t="s">
        <v>46</v>
      </c>
      <c r="Q912" t="s">
        <v>41</v>
      </c>
      <c r="R912" t="s">
        <v>29</v>
      </c>
      <c r="S912">
        <v>2014</v>
      </c>
      <c r="T912" t="s">
        <v>58</v>
      </c>
      <c r="U912">
        <v>31612</v>
      </c>
      <c r="V912">
        <v>87.18</v>
      </c>
      <c r="W912">
        <v>87.48</v>
      </c>
      <c r="X912">
        <v>60.66</v>
      </c>
      <c r="Y912">
        <v>30.59</v>
      </c>
    </row>
    <row r="913" spans="1:25" x14ac:dyDescent="0.3">
      <c r="A913" t="s">
        <v>159</v>
      </c>
      <c r="B913" t="str">
        <f t="shared" si="14"/>
        <v>Oct</v>
      </c>
      <c r="C913" t="s">
        <v>49</v>
      </c>
      <c r="D913" t="s">
        <v>50</v>
      </c>
      <c r="E913">
        <v>600777000530.05005</v>
      </c>
      <c r="F913">
        <v>59067.94</v>
      </c>
      <c r="G913">
        <v>49845590682.910004</v>
      </c>
      <c r="H913">
        <v>18643925</v>
      </c>
      <c r="I913">
        <v>21615146</v>
      </c>
      <c r="J913">
        <v>22357582</v>
      </c>
      <c r="K913">
        <v>23.26</v>
      </c>
      <c r="L913">
        <v>4.33</v>
      </c>
      <c r="M913">
        <v>-6.93</v>
      </c>
      <c r="N913">
        <v>-4.08</v>
      </c>
      <c r="O913">
        <v>69</v>
      </c>
      <c r="P913" t="s">
        <v>46</v>
      </c>
      <c r="Q913" t="s">
        <v>28</v>
      </c>
      <c r="R913" t="s">
        <v>29</v>
      </c>
      <c r="S913">
        <v>2015</v>
      </c>
      <c r="T913" t="s">
        <v>36</v>
      </c>
      <c r="U913">
        <v>4327</v>
      </c>
      <c r="V913">
        <v>44.12</v>
      </c>
      <c r="W913">
        <v>48.36</v>
      </c>
      <c r="X913">
        <v>79.47</v>
      </c>
      <c r="Y913">
        <v>91.95</v>
      </c>
    </row>
    <row r="914" spans="1:25" x14ac:dyDescent="0.3">
      <c r="A914" t="s">
        <v>339</v>
      </c>
      <c r="B914" t="str">
        <f t="shared" si="14"/>
        <v>Apr</v>
      </c>
      <c r="C914" t="s">
        <v>25</v>
      </c>
      <c r="D914" t="s">
        <v>26</v>
      </c>
      <c r="E914">
        <v>203224834462.76999</v>
      </c>
      <c r="F914">
        <v>5406.48</v>
      </c>
      <c r="G914">
        <v>12641568755.52</v>
      </c>
      <c r="H914">
        <v>12408424</v>
      </c>
      <c r="I914">
        <v>14528774</v>
      </c>
      <c r="J914">
        <v>15511022</v>
      </c>
      <c r="K914">
        <v>52.85</v>
      </c>
      <c r="L914">
        <v>-0.3</v>
      </c>
      <c r="M914">
        <v>-1.84</v>
      </c>
      <c r="N914">
        <v>-11.03</v>
      </c>
      <c r="O914">
        <v>102</v>
      </c>
      <c r="P914" t="s">
        <v>46</v>
      </c>
      <c r="Q914" t="s">
        <v>41</v>
      </c>
      <c r="R914" t="s">
        <v>74</v>
      </c>
      <c r="S914">
        <v>2015</v>
      </c>
      <c r="T914" t="s">
        <v>30</v>
      </c>
      <c r="U914">
        <v>48504</v>
      </c>
      <c r="V914">
        <v>84.49</v>
      </c>
      <c r="W914">
        <v>40.729999999999997</v>
      </c>
      <c r="X914">
        <v>77.010000000000005</v>
      </c>
      <c r="Y914">
        <v>87.59</v>
      </c>
    </row>
    <row r="915" spans="1:25" x14ac:dyDescent="0.3">
      <c r="A915" t="s">
        <v>412</v>
      </c>
      <c r="B915" t="str">
        <f t="shared" si="14"/>
        <v>Mar</v>
      </c>
      <c r="C915" t="s">
        <v>60</v>
      </c>
      <c r="D915" t="s">
        <v>61</v>
      </c>
      <c r="E915">
        <v>670110165525.38</v>
      </c>
      <c r="F915">
        <v>59570.84</v>
      </c>
      <c r="G915">
        <v>27153838543.82</v>
      </c>
      <c r="H915">
        <v>1817386</v>
      </c>
      <c r="I915">
        <v>2016919</v>
      </c>
      <c r="J915">
        <v>2242316</v>
      </c>
      <c r="K915">
        <v>1.01</v>
      </c>
      <c r="L915">
        <v>-4.53</v>
      </c>
      <c r="M915">
        <v>-5.27</v>
      </c>
      <c r="N915">
        <v>16.52</v>
      </c>
      <c r="O915">
        <v>72</v>
      </c>
      <c r="P915" t="s">
        <v>51</v>
      </c>
      <c r="Q915" t="s">
        <v>34</v>
      </c>
      <c r="R915" t="s">
        <v>64</v>
      </c>
      <c r="S915">
        <v>2013</v>
      </c>
      <c r="T915" t="s">
        <v>30</v>
      </c>
      <c r="U915">
        <v>31252</v>
      </c>
      <c r="V915">
        <v>70.569999999999993</v>
      </c>
      <c r="W915">
        <v>38.479999999999997</v>
      </c>
      <c r="X915">
        <v>70.400000000000006</v>
      </c>
      <c r="Y915">
        <v>26.36</v>
      </c>
    </row>
    <row r="916" spans="1:25" x14ac:dyDescent="0.3">
      <c r="A916" t="s">
        <v>381</v>
      </c>
      <c r="B916" t="str">
        <f t="shared" si="14"/>
        <v>May</v>
      </c>
      <c r="C916" t="s">
        <v>32</v>
      </c>
      <c r="D916" t="s">
        <v>33</v>
      </c>
      <c r="E916">
        <v>81839185074.960007</v>
      </c>
      <c r="F916">
        <v>12543.67</v>
      </c>
      <c r="G916">
        <v>37209381981.849998</v>
      </c>
      <c r="H916">
        <v>6723692</v>
      </c>
      <c r="I916">
        <v>9109761</v>
      </c>
      <c r="J916">
        <v>9965789</v>
      </c>
      <c r="K916">
        <v>43</v>
      </c>
      <c r="L916">
        <v>1.94</v>
      </c>
      <c r="M916">
        <v>-10.88</v>
      </c>
      <c r="N916">
        <v>39.99</v>
      </c>
      <c r="O916">
        <v>55</v>
      </c>
      <c r="P916" t="s">
        <v>46</v>
      </c>
      <c r="Q916" t="s">
        <v>28</v>
      </c>
      <c r="R916" t="s">
        <v>35</v>
      </c>
      <c r="S916">
        <v>2011</v>
      </c>
      <c r="T916" t="s">
        <v>36</v>
      </c>
      <c r="U916">
        <v>57912</v>
      </c>
      <c r="V916">
        <v>99.5</v>
      </c>
      <c r="W916">
        <v>44.81</v>
      </c>
      <c r="X916">
        <v>85.96</v>
      </c>
      <c r="Y916">
        <v>61.33</v>
      </c>
    </row>
    <row r="917" spans="1:25" x14ac:dyDescent="0.3">
      <c r="A917" t="s">
        <v>401</v>
      </c>
      <c r="B917" t="str">
        <f t="shared" si="14"/>
        <v>Nov</v>
      </c>
      <c r="C917" t="s">
        <v>38</v>
      </c>
      <c r="D917" t="s">
        <v>39</v>
      </c>
      <c r="E917">
        <v>361810093892.54999</v>
      </c>
      <c r="F917">
        <v>60165.919999999998</v>
      </c>
      <c r="G917">
        <v>30623760650.34</v>
      </c>
      <c r="H917">
        <v>10141676</v>
      </c>
      <c r="I917">
        <v>12773688</v>
      </c>
      <c r="J917">
        <v>13589662</v>
      </c>
      <c r="K917">
        <v>13.69</v>
      </c>
      <c r="L917">
        <v>-2.4700000000000002</v>
      </c>
      <c r="M917">
        <v>16.59</v>
      </c>
      <c r="N917">
        <v>12.8</v>
      </c>
      <c r="O917">
        <v>40</v>
      </c>
      <c r="P917" t="s">
        <v>40</v>
      </c>
      <c r="Q917" t="s">
        <v>57</v>
      </c>
      <c r="R917" t="s">
        <v>42</v>
      </c>
      <c r="S917">
        <v>2012</v>
      </c>
      <c r="T917" t="s">
        <v>36</v>
      </c>
      <c r="U917">
        <v>44950</v>
      </c>
      <c r="V917">
        <v>13.91</v>
      </c>
      <c r="W917">
        <v>65.790000000000006</v>
      </c>
      <c r="X917">
        <v>74.48</v>
      </c>
      <c r="Y917">
        <v>34.22</v>
      </c>
    </row>
    <row r="918" spans="1:25" x14ac:dyDescent="0.3">
      <c r="A918" t="s">
        <v>361</v>
      </c>
      <c r="B918" t="str">
        <f t="shared" si="14"/>
        <v>Jun</v>
      </c>
      <c r="C918" t="s">
        <v>44</v>
      </c>
      <c r="D918" t="s">
        <v>45</v>
      </c>
      <c r="E918">
        <v>427409853534.37</v>
      </c>
      <c r="F918">
        <v>2664.23</v>
      </c>
      <c r="G918">
        <v>34459875582.230003</v>
      </c>
      <c r="H918">
        <v>16601925</v>
      </c>
      <c r="I918">
        <v>19269441</v>
      </c>
      <c r="J918">
        <v>19482321</v>
      </c>
      <c r="K918">
        <v>36.770000000000003</v>
      </c>
      <c r="L918">
        <v>-2.95</v>
      </c>
      <c r="M918">
        <v>-15.44</v>
      </c>
      <c r="N918">
        <v>37.049999999999997</v>
      </c>
      <c r="O918">
        <v>161</v>
      </c>
      <c r="P918" t="s">
        <v>27</v>
      </c>
      <c r="Q918" t="s">
        <v>34</v>
      </c>
      <c r="R918" t="s">
        <v>35</v>
      </c>
      <c r="S918">
        <v>2011</v>
      </c>
      <c r="T918" t="s">
        <v>36</v>
      </c>
      <c r="U918">
        <v>19193</v>
      </c>
      <c r="V918">
        <v>14.48</v>
      </c>
      <c r="W918">
        <v>87.67</v>
      </c>
      <c r="X918">
        <v>23.88</v>
      </c>
      <c r="Y918">
        <v>90.66</v>
      </c>
    </row>
    <row r="919" spans="1:25" x14ac:dyDescent="0.3">
      <c r="A919" t="s">
        <v>208</v>
      </c>
      <c r="B919" t="str">
        <f t="shared" si="14"/>
        <v>Jan</v>
      </c>
      <c r="C919" t="s">
        <v>68</v>
      </c>
      <c r="D919" t="s">
        <v>69</v>
      </c>
      <c r="E919">
        <v>822010043690.20996</v>
      </c>
      <c r="F919">
        <v>47609.27</v>
      </c>
      <c r="G919">
        <v>20311301192.419998</v>
      </c>
      <c r="H919">
        <v>1059785</v>
      </c>
      <c r="I919">
        <v>4791453</v>
      </c>
      <c r="J919">
        <v>5476967</v>
      </c>
      <c r="K919">
        <v>33.770000000000003</v>
      </c>
      <c r="L919">
        <v>4.92</v>
      </c>
      <c r="M919">
        <v>6.58</v>
      </c>
      <c r="N919">
        <v>7.12</v>
      </c>
      <c r="O919">
        <v>17</v>
      </c>
      <c r="P919" t="s">
        <v>40</v>
      </c>
      <c r="Q919" t="s">
        <v>57</v>
      </c>
      <c r="R919" t="s">
        <v>64</v>
      </c>
      <c r="S919">
        <v>2013</v>
      </c>
      <c r="T919" t="s">
        <v>36</v>
      </c>
      <c r="U919">
        <v>33866</v>
      </c>
      <c r="V919">
        <v>69.87</v>
      </c>
      <c r="W919">
        <v>97.7</v>
      </c>
      <c r="X919">
        <v>80.790000000000006</v>
      </c>
      <c r="Y919">
        <v>43.52</v>
      </c>
    </row>
    <row r="920" spans="1:25" x14ac:dyDescent="0.3">
      <c r="A920" t="s">
        <v>80</v>
      </c>
      <c r="B920" t="str">
        <f t="shared" si="14"/>
        <v>Oct</v>
      </c>
      <c r="C920" t="s">
        <v>49</v>
      </c>
      <c r="D920" t="s">
        <v>50</v>
      </c>
      <c r="E920">
        <v>365675340348.85999</v>
      </c>
      <c r="F920">
        <v>50594</v>
      </c>
      <c r="G920">
        <v>36609147190.279999</v>
      </c>
      <c r="H920">
        <v>11871523</v>
      </c>
      <c r="I920">
        <v>14608408</v>
      </c>
      <c r="J920">
        <v>14883627</v>
      </c>
      <c r="K920">
        <v>41.86</v>
      </c>
      <c r="L920">
        <v>0.44</v>
      </c>
      <c r="M920">
        <v>19.23</v>
      </c>
      <c r="N920">
        <v>25.53</v>
      </c>
      <c r="O920">
        <v>198</v>
      </c>
      <c r="P920" t="s">
        <v>53</v>
      </c>
      <c r="Q920" t="s">
        <v>28</v>
      </c>
      <c r="R920" t="s">
        <v>74</v>
      </c>
      <c r="S920">
        <v>2015</v>
      </c>
      <c r="T920" t="s">
        <v>36</v>
      </c>
      <c r="U920">
        <v>19229</v>
      </c>
      <c r="V920">
        <v>34.24</v>
      </c>
      <c r="W920">
        <v>45.18</v>
      </c>
      <c r="X920">
        <v>36.619999999999997</v>
      </c>
      <c r="Y920">
        <v>26.82</v>
      </c>
    </row>
    <row r="921" spans="1:25" x14ac:dyDescent="0.3">
      <c r="A921" t="s">
        <v>282</v>
      </c>
      <c r="B921" t="str">
        <f t="shared" si="14"/>
        <v>Feb</v>
      </c>
      <c r="C921" t="s">
        <v>38</v>
      </c>
      <c r="D921" t="s">
        <v>39</v>
      </c>
      <c r="E921">
        <v>193150184655.32001</v>
      </c>
      <c r="F921">
        <v>38245.660000000003</v>
      </c>
      <c r="G921">
        <v>37255227700.339996</v>
      </c>
      <c r="H921">
        <v>8997928</v>
      </c>
      <c r="I921">
        <v>9543992</v>
      </c>
      <c r="J921">
        <v>10035806</v>
      </c>
      <c r="K921">
        <v>10.58</v>
      </c>
      <c r="L921">
        <v>-1.59</v>
      </c>
      <c r="M921">
        <v>-13.69</v>
      </c>
      <c r="N921">
        <v>22.87</v>
      </c>
      <c r="O921">
        <v>189</v>
      </c>
      <c r="P921" t="s">
        <v>53</v>
      </c>
      <c r="Q921" t="s">
        <v>57</v>
      </c>
      <c r="R921" t="s">
        <v>42</v>
      </c>
      <c r="S921">
        <v>2016</v>
      </c>
      <c r="T921" t="s">
        <v>36</v>
      </c>
      <c r="U921">
        <v>18099</v>
      </c>
      <c r="V921">
        <v>73.41</v>
      </c>
      <c r="W921">
        <v>68.61</v>
      </c>
      <c r="X921">
        <v>94.62</v>
      </c>
      <c r="Y921">
        <v>70.42</v>
      </c>
    </row>
    <row r="922" spans="1:25" x14ac:dyDescent="0.3">
      <c r="A922" t="s">
        <v>273</v>
      </c>
      <c r="B922" t="str">
        <f t="shared" si="14"/>
        <v>Mar</v>
      </c>
      <c r="C922" t="s">
        <v>38</v>
      </c>
      <c r="D922" t="s">
        <v>39</v>
      </c>
      <c r="E922">
        <v>206891949958.38</v>
      </c>
      <c r="F922">
        <v>38716.43</v>
      </c>
      <c r="G922">
        <v>37201809057.550003</v>
      </c>
      <c r="H922">
        <v>16188997</v>
      </c>
      <c r="I922">
        <v>19597551</v>
      </c>
      <c r="J922">
        <v>20512687</v>
      </c>
      <c r="K922">
        <v>37.81</v>
      </c>
      <c r="L922">
        <v>4.43</v>
      </c>
      <c r="M922">
        <v>-2.11</v>
      </c>
      <c r="N922">
        <v>3.58</v>
      </c>
      <c r="O922">
        <v>84</v>
      </c>
      <c r="P922" t="s">
        <v>40</v>
      </c>
      <c r="Q922" t="s">
        <v>41</v>
      </c>
      <c r="R922" t="s">
        <v>35</v>
      </c>
      <c r="S922">
        <v>2022</v>
      </c>
      <c r="T922" t="s">
        <v>36</v>
      </c>
      <c r="U922">
        <v>17600</v>
      </c>
      <c r="V922">
        <v>76.489999999999995</v>
      </c>
      <c r="W922">
        <v>52.48</v>
      </c>
      <c r="X922">
        <v>45.52</v>
      </c>
      <c r="Y922">
        <v>56.11</v>
      </c>
    </row>
    <row r="923" spans="1:25" x14ac:dyDescent="0.3">
      <c r="A923" t="s">
        <v>377</v>
      </c>
      <c r="B923" t="str">
        <f t="shared" si="14"/>
        <v>Feb</v>
      </c>
      <c r="C923" t="s">
        <v>25</v>
      </c>
      <c r="D923" t="s">
        <v>26</v>
      </c>
      <c r="E923">
        <v>282767959474.67999</v>
      </c>
      <c r="F923">
        <v>50853.43</v>
      </c>
      <c r="G923">
        <v>44340563741.349998</v>
      </c>
      <c r="H923">
        <v>18872243</v>
      </c>
      <c r="I923">
        <v>21682638</v>
      </c>
      <c r="J923">
        <v>22067128</v>
      </c>
      <c r="K923">
        <v>41.01</v>
      </c>
      <c r="L923">
        <v>0.22</v>
      </c>
      <c r="M923">
        <v>5.23</v>
      </c>
      <c r="N923">
        <v>-28.36</v>
      </c>
      <c r="O923">
        <v>112</v>
      </c>
      <c r="P923" t="s">
        <v>53</v>
      </c>
      <c r="Q923" t="s">
        <v>57</v>
      </c>
      <c r="R923" t="s">
        <v>74</v>
      </c>
      <c r="S923">
        <v>2021</v>
      </c>
      <c r="T923" t="s">
        <v>30</v>
      </c>
      <c r="U923">
        <v>25509</v>
      </c>
      <c r="V923">
        <v>47.72</v>
      </c>
      <c r="W923">
        <v>30.02</v>
      </c>
      <c r="X923">
        <v>19.739999999999998</v>
      </c>
      <c r="Y923">
        <v>72.67</v>
      </c>
    </row>
    <row r="924" spans="1:25" x14ac:dyDescent="0.3">
      <c r="A924" t="s">
        <v>103</v>
      </c>
      <c r="B924" t="str">
        <f t="shared" si="14"/>
        <v>Dec</v>
      </c>
      <c r="C924" t="s">
        <v>49</v>
      </c>
      <c r="D924" t="s">
        <v>50</v>
      </c>
      <c r="E924">
        <v>246778604288.29001</v>
      </c>
      <c r="F924">
        <v>30088.37</v>
      </c>
      <c r="G924">
        <v>43138743021.510002</v>
      </c>
      <c r="H924">
        <v>7308558</v>
      </c>
      <c r="I924">
        <v>10121642</v>
      </c>
      <c r="J924">
        <v>10772392</v>
      </c>
      <c r="K924">
        <v>49.68</v>
      </c>
      <c r="L924">
        <v>2.36</v>
      </c>
      <c r="M924">
        <v>-1.08</v>
      </c>
      <c r="N924">
        <v>-6.58</v>
      </c>
      <c r="O924">
        <v>112</v>
      </c>
      <c r="P924" t="s">
        <v>53</v>
      </c>
      <c r="Q924" t="s">
        <v>34</v>
      </c>
      <c r="R924" t="s">
        <v>29</v>
      </c>
      <c r="S924">
        <v>2013</v>
      </c>
      <c r="T924" t="s">
        <v>36</v>
      </c>
      <c r="U924">
        <v>27930</v>
      </c>
      <c r="V924">
        <v>55.31</v>
      </c>
      <c r="W924">
        <v>43.71</v>
      </c>
      <c r="X924">
        <v>66.39</v>
      </c>
      <c r="Y924">
        <v>71.41</v>
      </c>
    </row>
    <row r="925" spans="1:25" x14ac:dyDescent="0.3">
      <c r="A925" t="s">
        <v>66</v>
      </c>
      <c r="B925" t="str">
        <f t="shared" si="14"/>
        <v>Apr</v>
      </c>
      <c r="C925" t="s">
        <v>38</v>
      </c>
      <c r="D925" t="s">
        <v>39</v>
      </c>
      <c r="E925">
        <v>185339598511.84</v>
      </c>
      <c r="F925">
        <v>19936.189999999999</v>
      </c>
      <c r="G925">
        <v>30236914558.5</v>
      </c>
      <c r="H925">
        <v>16223284</v>
      </c>
      <c r="I925">
        <v>21177716</v>
      </c>
      <c r="J925">
        <v>21932269</v>
      </c>
      <c r="K925">
        <v>38.53</v>
      </c>
      <c r="L925">
        <v>1.01</v>
      </c>
      <c r="M925">
        <v>-12.08</v>
      </c>
      <c r="N925">
        <v>4.67</v>
      </c>
      <c r="O925">
        <v>177</v>
      </c>
      <c r="P925" t="s">
        <v>46</v>
      </c>
      <c r="Q925" t="s">
        <v>28</v>
      </c>
      <c r="R925" t="s">
        <v>64</v>
      </c>
      <c r="S925">
        <v>2019</v>
      </c>
      <c r="T925" t="s">
        <v>36</v>
      </c>
      <c r="U925">
        <v>1088</v>
      </c>
      <c r="V925">
        <v>97.84</v>
      </c>
      <c r="W925">
        <v>57.05</v>
      </c>
      <c r="X925">
        <v>28.78</v>
      </c>
      <c r="Y925">
        <v>87.28</v>
      </c>
    </row>
    <row r="926" spans="1:25" x14ac:dyDescent="0.3">
      <c r="A926" t="s">
        <v>170</v>
      </c>
      <c r="B926" t="str">
        <f t="shared" si="14"/>
        <v>Sep</v>
      </c>
      <c r="C926" t="s">
        <v>68</v>
      </c>
      <c r="D926" t="s">
        <v>69</v>
      </c>
      <c r="E926">
        <v>680460074027.84998</v>
      </c>
      <c r="F926">
        <v>30396.99</v>
      </c>
      <c r="G926">
        <v>9403233734.4200001</v>
      </c>
      <c r="H926">
        <v>4069105</v>
      </c>
      <c r="I926">
        <v>4134922</v>
      </c>
      <c r="J926">
        <v>4877981</v>
      </c>
      <c r="K926">
        <v>22.72</v>
      </c>
      <c r="L926">
        <v>3.5</v>
      </c>
      <c r="M926">
        <v>13.83</v>
      </c>
      <c r="N926">
        <v>22.57</v>
      </c>
      <c r="O926">
        <v>133</v>
      </c>
      <c r="P926" t="s">
        <v>46</v>
      </c>
      <c r="Q926" t="s">
        <v>47</v>
      </c>
      <c r="R926" t="s">
        <v>64</v>
      </c>
      <c r="S926">
        <v>2020</v>
      </c>
      <c r="T926" t="s">
        <v>36</v>
      </c>
      <c r="U926">
        <v>51682</v>
      </c>
      <c r="V926">
        <v>94.26</v>
      </c>
      <c r="W926">
        <v>78.13</v>
      </c>
      <c r="X926">
        <v>62.15</v>
      </c>
      <c r="Y926">
        <v>90.23</v>
      </c>
    </row>
    <row r="927" spans="1:25" x14ac:dyDescent="0.3">
      <c r="A927" t="s">
        <v>151</v>
      </c>
      <c r="B927" t="str">
        <f t="shared" si="14"/>
        <v>Nov</v>
      </c>
      <c r="C927" t="s">
        <v>32</v>
      </c>
      <c r="D927" t="s">
        <v>33</v>
      </c>
      <c r="E927">
        <v>793441177230.73999</v>
      </c>
      <c r="F927">
        <v>898.9</v>
      </c>
      <c r="G927">
        <v>43408197717.900002</v>
      </c>
      <c r="H927">
        <v>11105693</v>
      </c>
      <c r="I927">
        <v>14013821</v>
      </c>
      <c r="J927">
        <v>14274300</v>
      </c>
      <c r="K927">
        <v>47.78</v>
      </c>
      <c r="L927">
        <v>0.32</v>
      </c>
      <c r="M927">
        <v>1.99</v>
      </c>
      <c r="N927">
        <v>17.670000000000002</v>
      </c>
      <c r="O927">
        <v>102</v>
      </c>
      <c r="P927" t="s">
        <v>27</v>
      </c>
      <c r="Q927" t="s">
        <v>28</v>
      </c>
      <c r="R927" t="s">
        <v>35</v>
      </c>
      <c r="S927">
        <v>2019</v>
      </c>
      <c r="T927" t="s">
        <v>36</v>
      </c>
      <c r="U927">
        <v>22174</v>
      </c>
      <c r="V927">
        <v>63.63</v>
      </c>
      <c r="W927">
        <v>99.74</v>
      </c>
      <c r="X927">
        <v>96.41</v>
      </c>
      <c r="Y927">
        <v>13.28</v>
      </c>
    </row>
    <row r="928" spans="1:25" x14ac:dyDescent="0.3">
      <c r="A928" t="s">
        <v>370</v>
      </c>
      <c r="B928" t="str">
        <f t="shared" si="14"/>
        <v>Jul</v>
      </c>
      <c r="C928" t="s">
        <v>60</v>
      </c>
      <c r="D928" t="s">
        <v>61</v>
      </c>
      <c r="E928">
        <v>422389413495.23999</v>
      </c>
      <c r="F928">
        <v>49662.12</v>
      </c>
      <c r="G928">
        <v>32660068620.91</v>
      </c>
      <c r="H928">
        <v>15778920</v>
      </c>
      <c r="I928">
        <v>18378402</v>
      </c>
      <c r="J928">
        <v>18623516</v>
      </c>
      <c r="K928">
        <v>22.66</v>
      </c>
      <c r="L928">
        <v>0.22</v>
      </c>
      <c r="M928">
        <v>-2.37</v>
      </c>
      <c r="N928">
        <v>12.2</v>
      </c>
      <c r="O928">
        <v>193</v>
      </c>
      <c r="P928" t="s">
        <v>40</v>
      </c>
      <c r="Q928" t="s">
        <v>47</v>
      </c>
      <c r="R928" t="s">
        <v>64</v>
      </c>
      <c r="S928">
        <v>2013</v>
      </c>
      <c r="T928" t="s">
        <v>30</v>
      </c>
      <c r="U928">
        <v>51630</v>
      </c>
      <c r="V928">
        <v>15.15</v>
      </c>
      <c r="W928">
        <v>26.36</v>
      </c>
      <c r="X928">
        <v>66.75</v>
      </c>
      <c r="Y928">
        <v>77.3</v>
      </c>
    </row>
    <row r="929" spans="1:25" x14ac:dyDescent="0.3">
      <c r="A929" t="s">
        <v>348</v>
      </c>
      <c r="B929" t="str">
        <f t="shared" si="14"/>
        <v>May</v>
      </c>
      <c r="C929" t="s">
        <v>32</v>
      </c>
      <c r="D929" t="s">
        <v>33</v>
      </c>
      <c r="E929">
        <v>115729802078.42</v>
      </c>
      <c r="F929">
        <v>49006.99</v>
      </c>
      <c r="G929">
        <v>23701548224.740002</v>
      </c>
      <c r="H929">
        <v>7541045</v>
      </c>
      <c r="I929">
        <v>11822996</v>
      </c>
      <c r="J929">
        <v>12443921</v>
      </c>
      <c r="K929">
        <v>54.58</v>
      </c>
      <c r="L929">
        <v>3.86</v>
      </c>
      <c r="M929">
        <v>12.07</v>
      </c>
      <c r="N929">
        <v>24.64</v>
      </c>
      <c r="O929">
        <v>195</v>
      </c>
      <c r="P929" t="s">
        <v>46</v>
      </c>
      <c r="Q929" t="s">
        <v>28</v>
      </c>
      <c r="R929" t="s">
        <v>74</v>
      </c>
      <c r="S929">
        <v>2023</v>
      </c>
      <c r="T929" t="s">
        <v>36</v>
      </c>
      <c r="U929">
        <v>48806</v>
      </c>
      <c r="V929">
        <v>51.9</v>
      </c>
      <c r="W929">
        <v>44.03</v>
      </c>
      <c r="X929">
        <v>43.5</v>
      </c>
      <c r="Y929">
        <v>78.88</v>
      </c>
    </row>
    <row r="930" spans="1:25" x14ac:dyDescent="0.3">
      <c r="A930" t="s">
        <v>279</v>
      </c>
      <c r="B930" t="str">
        <f t="shared" si="14"/>
        <v>Nov</v>
      </c>
      <c r="C930" t="s">
        <v>49</v>
      </c>
      <c r="D930" t="s">
        <v>50</v>
      </c>
      <c r="E930">
        <v>504776419404.29999</v>
      </c>
      <c r="F930">
        <v>7778.6</v>
      </c>
      <c r="G930">
        <v>40183612682.959999</v>
      </c>
      <c r="H930">
        <v>4173440</v>
      </c>
      <c r="I930">
        <v>4609110</v>
      </c>
      <c r="J930">
        <v>5093543</v>
      </c>
      <c r="K930">
        <v>56.67</v>
      </c>
      <c r="L930">
        <v>-4.6900000000000004</v>
      </c>
      <c r="M930">
        <v>-17.04</v>
      </c>
      <c r="N930">
        <v>-13.13</v>
      </c>
      <c r="O930">
        <v>172</v>
      </c>
      <c r="P930" t="s">
        <v>27</v>
      </c>
      <c r="Q930" t="s">
        <v>34</v>
      </c>
      <c r="R930" t="s">
        <v>42</v>
      </c>
      <c r="S930">
        <v>2013</v>
      </c>
      <c r="T930" t="s">
        <v>36</v>
      </c>
      <c r="U930">
        <v>20139</v>
      </c>
      <c r="V930">
        <v>30.57</v>
      </c>
      <c r="W930">
        <v>67.819999999999993</v>
      </c>
      <c r="X930">
        <v>72.430000000000007</v>
      </c>
      <c r="Y930">
        <v>37.04</v>
      </c>
    </row>
    <row r="931" spans="1:25" x14ac:dyDescent="0.3">
      <c r="A931" t="s">
        <v>266</v>
      </c>
      <c r="B931" t="str">
        <f t="shared" si="14"/>
        <v>Jul</v>
      </c>
      <c r="C931" t="s">
        <v>25</v>
      </c>
      <c r="D931" t="s">
        <v>26</v>
      </c>
      <c r="E931">
        <v>593531825531.82996</v>
      </c>
      <c r="F931">
        <v>8778.09</v>
      </c>
      <c r="G931">
        <v>3548434183.6599998</v>
      </c>
      <c r="H931">
        <v>7735150</v>
      </c>
      <c r="I931">
        <v>8794047</v>
      </c>
      <c r="J931">
        <v>9724691</v>
      </c>
      <c r="K931">
        <v>44.75</v>
      </c>
      <c r="L931">
        <v>-0.21</v>
      </c>
      <c r="M931">
        <v>13.82</v>
      </c>
      <c r="N931">
        <v>37.35</v>
      </c>
      <c r="O931">
        <v>107</v>
      </c>
      <c r="P931" t="s">
        <v>40</v>
      </c>
      <c r="Q931" t="s">
        <v>41</v>
      </c>
      <c r="R931" t="s">
        <v>42</v>
      </c>
      <c r="S931">
        <v>2010</v>
      </c>
      <c r="T931" t="s">
        <v>30</v>
      </c>
      <c r="U931">
        <v>11944</v>
      </c>
      <c r="V931">
        <v>24.84</v>
      </c>
      <c r="W931">
        <v>90.23</v>
      </c>
      <c r="X931">
        <v>43.99</v>
      </c>
      <c r="Y931">
        <v>76.540000000000006</v>
      </c>
    </row>
    <row r="932" spans="1:25" x14ac:dyDescent="0.3">
      <c r="A932" t="s">
        <v>266</v>
      </c>
      <c r="B932" t="str">
        <f t="shared" si="14"/>
        <v>Jul</v>
      </c>
      <c r="C932" t="s">
        <v>38</v>
      </c>
      <c r="D932" t="s">
        <v>39</v>
      </c>
      <c r="E932">
        <v>465152975422.84003</v>
      </c>
      <c r="F932">
        <v>6137.44</v>
      </c>
      <c r="G932">
        <v>42556302002.559998</v>
      </c>
      <c r="H932">
        <v>12141067</v>
      </c>
      <c r="I932">
        <v>16068121</v>
      </c>
      <c r="J932">
        <v>16272434</v>
      </c>
      <c r="K932">
        <v>48.46</v>
      </c>
      <c r="L932">
        <v>4.7300000000000004</v>
      </c>
      <c r="M932">
        <v>11.81</v>
      </c>
      <c r="N932">
        <v>-20.98</v>
      </c>
      <c r="O932">
        <v>7</v>
      </c>
      <c r="P932" t="s">
        <v>27</v>
      </c>
      <c r="Q932" t="s">
        <v>41</v>
      </c>
      <c r="R932" t="s">
        <v>35</v>
      </c>
      <c r="S932">
        <v>2017</v>
      </c>
      <c r="T932" t="s">
        <v>36</v>
      </c>
      <c r="U932">
        <v>53195</v>
      </c>
      <c r="V932">
        <v>10.28</v>
      </c>
      <c r="W932">
        <v>42.27</v>
      </c>
      <c r="X932">
        <v>48.22</v>
      </c>
      <c r="Y932">
        <v>44.06</v>
      </c>
    </row>
    <row r="933" spans="1:25" x14ac:dyDescent="0.3">
      <c r="A933" t="s">
        <v>168</v>
      </c>
      <c r="B933" t="str">
        <f t="shared" si="14"/>
        <v>Apr</v>
      </c>
      <c r="C933" t="s">
        <v>90</v>
      </c>
      <c r="D933" t="s">
        <v>91</v>
      </c>
      <c r="E933">
        <v>91501086863.089996</v>
      </c>
      <c r="F933">
        <v>1006</v>
      </c>
      <c r="G933">
        <v>41833591077.800003</v>
      </c>
      <c r="H933">
        <v>17548140</v>
      </c>
      <c r="I933">
        <v>20281099</v>
      </c>
      <c r="J933">
        <v>20355097</v>
      </c>
      <c r="K933">
        <v>33.159999999999997</v>
      </c>
      <c r="L933">
        <v>-3.18</v>
      </c>
      <c r="M933">
        <v>3.96</v>
      </c>
      <c r="N933">
        <v>19.22</v>
      </c>
      <c r="O933">
        <v>150</v>
      </c>
      <c r="P933" t="s">
        <v>40</v>
      </c>
      <c r="Q933" t="s">
        <v>28</v>
      </c>
      <c r="R933" t="s">
        <v>74</v>
      </c>
      <c r="S933">
        <v>2020</v>
      </c>
      <c r="T933" t="s">
        <v>30</v>
      </c>
      <c r="U933">
        <v>32719</v>
      </c>
      <c r="V933">
        <v>40.520000000000003</v>
      </c>
      <c r="W933">
        <v>65.17</v>
      </c>
      <c r="X933">
        <v>23.6</v>
      </c>
      <c r="Y933">
        <v>78.48</v>
      </c>
    </row>
    <row r="934" spans="1:25" x14ac:dyDescent="0.3">
      <c r="A934" t="s">
        <v>293</v>
      </c>
      <c r="B934" t="str">
        <f t="shared" si="14"/>
        <v>Aug</v>
      </c>
      <c r="C934" t="s">
        <v>38</v>
      </c>
      <c r="D934" t="s">
        <v>39</v>
      </c>
      <c r="E934">
        <v>119217816621.72</v>
      </c>
      <c r="F934">
        <v>58111.37</v>
      </c>
      <c r="G934">
        <v>16245279767.92</v>
      </c>
      <c r="H934">
        <v>2921196</v>
      </c>
      <c r="I934">
        <v>5217171</v>
      </c>
      <c r="J934">
        <v>5838043</v>
      </c>
      <c r="K934">
        <v>32.56</v>
      </c>
      <c r="L934">
        <v>2.66</v>
      </c>
      <c r="M934">
        <v>-4.5999999999999996</v>
      </c>
      <c r="N934">
        <v>-35.159999999999997</v>
      </c>
      <c r="O934">
        <v>122</v>
      </c>
      <c r="P934" t="s">
        <v>53</v>
      </c>
      <c r="Q934" t="s">
        <v>28</v>
      </c>
      <c r="R934" t="s">
        <v>64</v>
      </c>
      <c r="S934">
        <v>2015</v>
      </c>
      <c r="T934" t="s">
        <v>36</v>
      </c>
      <c r="U934">
        <v>8951</v>
      </c>
      <c r="V934">
        <v>97.58</v>
      </c>
      <c r="W934">
        <v>48.07</v>
      </c>
      <c r="X934">
        <v>89.19</v>
      </c>
      <c r="Y934">
        <v>38.130000000000003</v>
      </c>
    </row>
    <row r="935" spans="1:25" x14ac:dyDescent="0.3">
      <c r="A935" t="s">
        <v>112</v>
      </c>
      <c r="B935" t="str">
        <f t="shared" si="14"/>
        <v>Feb</v>
      </c>
      <c r="C935" t="s">
        <v>90</v>
      </c>
      <c r="D935" t="s">
        <v>91</v>
      </c>
      <c r="E935">
        <v>746488131174.53003</v>
      </c>
      <c r="F935">
        <v>30511.11</v>
      </c>
      <c r="G935">
        <v>1394642084.75</v>
      </c>
      <c r="H935">
        <v>9484408</v>
      </c>
      <c r="I935">
        <v>14305650</v>
      </c>
      <c r="J935">
        <v>14694234</v>
      </c>
      <c r="K935">
        <v>13.31</v>
      </c>
      <c r="L935">
        <v>-0.67</v>
      </c>
      <c r="M935">
        <v>18.25</v>
      </c>
      <c r="N935">
        <v>19.79</v>
      </c>
      <c r="O935">
        <v>142</v>
      </c>
      <c r="P935" t="s">
        <v>53</v>
      </c>
      <c r="Q935" t="s">
        <v>28</v>
      </c>
      <c r="R935" t="s">
        <v>42</v>
      </c>
      <c r="S935">
        <v>2012</v>
      </c>
      <c r="T935" t="s">
        <v>30</v>
      </c>
      <c r="U935">
        <v>6830</v>
      </c>
      <c r="V935">
        <v>32.04</v>
      </c>
      <c r="W935">
        <v>33.65</v>
      </c>
      <c r="X935">
        <v>71.02</v>
      </c>
      <c r="Y935">
        <v>31.08</v>
      </c>
    </row>
    <row r="936" spans="1:25" x14ac:dyDescent="0.3">
      <c r="A936" t="s">
        <v>110</v>
      </c>
      <c r="B936" t="str">
        <f t="shared" si="14"/>
        <v>Aug</v>
      </c>
      <c r="C936" t="s">
        <v>49</v>
      </c>
      <c r="D936" t="s">
        <v>50</v>
      </c>
      <c r="E936">
        <v>75482775425.800003</v>
      </c>
      <c r="F936">
        <v>2584.4</v>
      </c>
      <c r="G936">
        <v>35618338580.089996</v>
      </c>
      <c r="H936">
        <v>18627964</v>
      </c>
      <c r="I936">
        <v>20824277</v>
      </c>
      <c r="J936">
        <v>21097170</v>
      </c>
      <c r="K936">
        <v>3.42</v>
      </c>
      <c r="L936">
        <v>-2.21</v>
      </c>
      <c r="M936">
        <v>-17.02</v>
      </c>
      <c r="N936">
        <v>-6.94</v>
      </c>
      <c r="O936">
        <v>137</v>
      </c>
      <c r="P936" t="s">
        <v>27</v>
      </c>
      <c r="Q936" t="s">
        <v>34</v>
      </c>
      <c r="R936" t="s">
        <v>64</v>
      </c>
      <c r="S936">
        <v>2019</v>
      </c>
      <c r="T936" t="s">
        <v>36</v>
      </c>
      <c r="U936">
        <v>23101</v>
      </c>
      <c r="V936">
        <v>34.450000000000003</v>
      </c>
      <c r="W936">
        <v>53.59</v>
      </c>
      <c r="X936">
        <v>27.75</v>
      </c>
      <c r="Y936">
        <v>86.64</v>
      </c>
    </row>
    <row r="937" spans="1:25" x14ac:dyDescent="0.3">
      <c r="A937" t="s">
        <v>399</v>
      </c>
      <c r="B937" t="str">
        <f t="shared" si="14"/>
        <v>Apr</v>
      </c>
      <c r="C937" t="s">
        <v>78</v>
      </c>
      <c r="D937" t="s">
        <v>79</v>
      </c>
      <c r="E937">
        <v>891318810376.65002</v>
      </c>
      <c r="F937">
        <v>12966.28</v>
      </c>
      <c r="G937">
        <v>20315329761.029999</v>
      </c>
      <c r="H937">
        <v>3191347</v>
      </c>
      <c r="I937">
        <v>4160341</v>
      </c>
      <c r="J937">
        <v>4609072</v>
      </c>
      <c r="K937">
        <v>47.17</v>
      </c>
      <c r="L937">
        <v>3.35</v>
      </c>
      <c r="M937">
        <v>-17.78</v>
      </c>
      <c r="N937">
        <v>-34.83</v>
      </c>
      <c r="O937">
        <v>52</v>
      </c>
      <c r="P937" t="s">
        <v>51</v>
      </c>
      <c r="Q937" t="s">
        <v>57</v>
      </c>
      <c r="R937" t="s">
        <v>74</v>
      </c>
      <c r="S937">
        <v>2021</v>
      </c>
      <c r="T937" t="s">
        <v>36</v>
      </c>
      <c r="U937">
        <v>9265</v>
      </c>
      <c r="V937">
        <v>83.78</v>
      </c>
      <c r="W937">
        <v>67.92</v>
      </c>
      <c r="X937">
        <v>37.909999999999997</v>
      </c>
      <c r="Y937">
        <v>64.02</v>
      </c>
    </row>
    <row r="938" spans="1:25" x14ac:dyDescent="0.3">
      <c r="A938" t="s">
        <v>87</v>
      </c>
      <c r="B938" t="str">
        <f t="shared" si="14"/>
        <v>Jun</v>
      </c>
      <c r="C938" t="s">
        <v>32</v>
      </c>
      <c r="D938" t="s">
        <v>33</v>
      </c>
      <c r="E938">
        <v>415813300240.48999</v>
      </c>
      <c r="F938">
        <v>68762.28</v>
      </c>
      <c r="G938">
        <v>5983985463.4799995</v>
      </c>
      <c r="H938">
        <v>3063707</v>
      </c>
      <c r="I938">
        <v>3252445</v>
      </c>
      <c r="J938">
        <v>4143028</v>
      </c>
      <c r="K938">
        <v>51.45</v>
      </c>
      <c r="L938">
        <v>-0.18</v>
      </c>
      <c r="M938">
        <v>1.66</v>
      </c>
      <c r="N938">
        <v>33.130000000000003</v>
      </c>
      <c r="O938">
        <v>120</v>
      </c>
      <c r="P938" t="s">
        <v>46</v>
      </c>
      <c r="Q938" t="s">
        <v>41</v>
      </c>
      <c r="R938" t="s">
        <v>74</v>
      </c>
      <c r="S938">
        <v>2014</v>
      </c>
      <c r="T938" t="s">
        <v>36</v>
      </c>
      <c r="U938">
        <v>53963</v>
      </c>
      <c r="V938">
        <v>62.96</v>
      </c>
      <c r="W938">
        <v>56.35</v>
      </c>
      <c r="X938">
        <v>77.06</v>
      </c>
      <c r="Y938">
        <v>16.02</v>
      </c>
    </row>
    <row r="939" spans="1:25" x14ac:dyDescent="0.3">
      <c r="A939" t="s">
        <v>371</v>
      </c>
      <c r="B939" t="str">
        <f t="shared" si="14"/>
        <v>Mar</v>
      </c>
      <c r="C939" t="s">
        <v>60</v>
      </c>
      <c r="D939" t="s">
        <v>61</v>
      </c>
      <c r="E939">
        <v>433430774335.65002</v>
      </c>
      <c r="F939">
        <v>23629.88</v>
      </c>
      <c r="G939">
        <v>15087088794.200001</v>
      </c>
      <c r="H939">
        <v>16378602</v>
      </c>
      <c r="I939">
        <v>20367298</v>
      </c>
      <c r="J939">
        <v>20578678</v>
      </c>
      <c r="K939">
        <v>24.22</v>
      </c>
      <c r="L939">
        <v>-1.9</v>
      </c>
      <c r="M939">
        <v>19.64</v>
      </c>
      <c r="N939">
        <v>-3.51</v>
      </c>
      <c r="O939">
        <v>10</v>
      </c>
      <c r="P939" t="s">
        <v>46</v>
      </c>
      <c r="Q939" t="s">
        <v>28</v>
      </c>
      <c r="R939" t="s">
        <v>29</v>
      </c>
      <c r="S939">
        <v>2011</v>
      </c>
      <c r="T939" t="s">
        <v>30</v>
      </c>
      <c r="U939">
        <v>56267</v>
      </c>
      <c r="V939">
        <v>70.03</v>
      </c>
      <c r="W939">
        <v>98.43</v>
      </c>
      <c r="X939">
        <v>46.76</v>
      </c>
      <c r="Y939">
        <v>47.22</v>
      </c>
    </row>
    <row r="940" spans="1:25" x14ac:dyDescent="0.3">
      <c r="A940" t="s">
        <v>413</v>
      </c>
      <c r="B940" t="str">
        <f t="shared" si="14"/>
        <v>Oct</v>
      </c>
      <c r="C940" t="s">
        <v>90</v>
      </c>
      <c r="D940" t="s">
        <v>91</v>
      </c>
      <c r="E940">
        <v>235364891423.23999</v>
      </c>
      <c r="F940">
        <v>14233.62</v>
      </c>
      <c r="G940">
        <v>16530811040.23</v>
      </c>
      <c r="H940">
        <v>12587593</v>
      </c>
      <c r="I940">
        <v>17565083</v>
      </c>
      <c r="J940">
        <v>18063266</v>
      </c>
      <c r="K940">
        <v>22.52</v>
      </c>
      <c r="L940">
        <v>-2.0099999999999998</v>
      </c>
      <c r="M940">
        <v>14.89</v>
      </c>
      <c r="N940">
        <v>37.479999999999997</v>
      </c>
      <c r="O940">
        <v>79</v>
      </c>
      <c r="P940" t="s">
        <v>53</v>
      </c>
      <c r="Q940" t="s">
        <v>41</v>
      </c>
      <c r="R940" t="s">
        <v>35</v>
      </c>
      <c r="S940">
        <v>2016</v>
      </c>
      <c r="T940" t="s">
        <v>30</v>
      </c>
      <c r="U940">
        <v>46298</v>
      </c>
      <c r="V940">
        <v>22.45</v>
      </c>
      <c r="W940">
        <v>23.95</v>
      </c>
      <c r="X940">
        <v>27.19</v>
      </c>
      <c r="Y940">
        <v>53.54</v>
      </c>
    </row>
    <row r="941" spans="1:25" x14ac:dyDescent="0.3">
      <c r="A941" t="s">
        <v>329</v>
      </c>
      <c r="B941" t="str">
        <f t="shared" si="14"/>
        <v>Oct</v>
      </c>
      <c r="C941" t="s">
        <v>25</v>
      </c>
      <c r="D941" t="s">
        <v>26</v>
      </c>
      <c r="E941">
        <v>496065249591.21002</v>
      </c>
      <c r="F941">
        <v>63246.09</v>
      </c>
      <c r="G941">
        <v>33953869710.110001</v>
      </c>
      <c r="H941">
        <v>6778630</v>
      </c>
      <c r="I941">
        <v>7413552</v>
      </c>
      <c r="J941">
        <v>8386609</v>
      </c>
      <c r="K941">
        <v>8.19</v>
      </c>
      <c r="L941">
        <v>-2.59</v>
      </c>
      <c r="M941">
        <v>-10.62</v>
      </c>
      <c r="N941">
        <v>-2.57</v>
      </c>
      <c r="O941">
        <v>198</v>
      </c>
      <c r="P941" t="s">
        <v>40</v>
      </c>
      <c r="Q941" t="s">
        <v>47</v>
      </c>
      <c r="R941" t="s">
        <v>74</v>
      </c>
      <c r="S941">
        <v>2016</v>
      </c>
      <c r="T941" t="s">
        <v>30</v>
      </c>
      <c r="U941">
        <v>21937</v>
      </c>
      <c r="V941">
        <v>73.37</v>
      </c>
      <c r="W941">
        <v>71.17</v>
      </c>
      <c r="X941">
        <v>99.47</v>
      </c>
      <c r="Y941">
        <v>72.67</v>
      </c>
    </row>
    <row r="942" spans="1:25" x14ac:dyDescent="0.3">
      <c r="A942" t="s">
        <v>228</v>
      </c>
      <c r="B942" t="str">
        <f t="shared" si="14"/>
        <v>Jan</v>
      </c>
      <c r="C942" t="s">
        <v>68</v>
      </c>
      <c r="D942" t="s">
        <v>69</v>
      </c>
      <c r="E942">
        <v>42508747932.480003</v>
      </c>
      <c r="F942">
        <v>56226.13</v>
      </c>
      <c r="G942">
        <v>21742583779.709999</v>
      </c>
      <c r="H942">
        <v>5662581</v>
      </c>
      <c r="I942">
        <v>7193686</v>
      </c>
      <c r="J942">
        <v>7725361</v>
      </c>
      <c r="K942">
        <v>25.16</v>
      </c>
      <c r="L942">
        <v>2.4</v>
      </c>
      <c r="M942">
        <v>4</v>
      </c>
      <c r="N942">
        <v>24.97</v>
      </c>
      <c r="O942">
        <v>56</v>
      </c>
      <c r="P942" t="s">
        <v>53</v>
      </c>
      <c r="Q942" t="s">
        <v>28</v>
      </c>
      <c r="R942" t="s">
        <v>29</v>
      </c>
      <c r="S942">
        <v>2022</v>
      </c>
      <c r="T942" t="s">
        <v>36</v>
      </c>
      <c r="U942">
        <v>18437</v>
      </c>
      <c r="V942">
        <v>11.96</v>
      </c>
      <c r="W942">
        <v>54.11</v>
      </c>
      <c r="X942">
        <v>45.59</v>
      </c>
      <c r="Y942">
        <v>86.65</v>
      </c>
    </row>
    <row r="943" spans="1:25" x14ac:dyDescent="0.3">
      <c r="A943" t="s">
        <v>269</v>
      </c>
      <c r="B943" t="str">
        <f t="shared" si="14"/>
        <v>Jul</v>
      </c>
      <c r="C943" t="s">
        <v>25</v>
      </c>
      <c r="D943" t="s">
        <v>26</v>
      </c>
      <c r="E943">
        <v>549290701092.34998</v>
      </c>
      <c r="F943">
        <v>61943.64</v>
      </c>
      <c r="G943">
        <v>32512863162.59</v>
      </c>
      <c r="H943">
        <v>13626001</v>
      </c>
      <c r="I943">
        <v>14167238</v>
      </c>
      <c r="J943">
        <v>14394842</v>
      </c>
      <c r="K943">
        <v>53.62</v>
      </c>
      <c r="L943">
        <v>-4.34</v>
      </c>
      <c r="M943">
        <v>6.62</v>
      </c>
      <c r="N943">
        <v>13.59</v>
      </c>
      <c r="O943">
        <v>72</v>
      </c>
      <c r="P943" t="s">
        <v>51</v>
      </c>
      <c r="Q943" t="s">
        <v>41</v>
      </c>
      <c r="R943" t="s">
        <v>35</v>
      </c>
      <c r="S943">
        <v>2023</v>
      </c>
      <c r="T943" t="s">
        <v>30</v>
      </c>
      <c r="U943">
        <v>34662</v>
      </c>
      <c r="V943">
        <v>17.809999999999999</v>
      </c>
      <c r="W943">
        <v>45.47</v>
      </c>
      <c r="X943">
        <v>44.84</v>
      </c>
      <c r="Y943">
        <v>24.06</v>
      </c>
    </row>
    <row r="944" spans="1:25" x14ac:dyDescent="0.3">
      <c r="A944" t="s">
        <v>139</v>
      </c>
      <c r="B944" t="str">
        <f t="shared" si="14"/>
        <v>Jul</v>
      </c>
      <c r="C944" t="s">
        <v>78</v>
      </c>
      <c r="D944" t="s">
        <v>79</v>
      </c>
      <c r="E944">
        <v>851273663946.77002</v>
      </c>
      <c r="F944">
        <v>43824.49</v>
      </c>
      <c r="G944">
        <v>45881480389.690002</v>
      </c>
      <c r="H944">
        <v>7482299</v>
      </c>
      <c r="I944">
        <v>10466081</v>
      </c>
      <c r="J944">
        <v>10932144</v>
      </c>
      <c r="K944">
        <v>3.17</v>
      </c>
      <c r="L944">
        <v>4.1900000000000004</v>
      </c>
      <c r="M944">
        <v>-3.93</v>
      </c>
      <c r="N944">
        <v>-0.74</v>
      </c>
      <c r="O944">
        <v>99</v>
      </c>
      <c r="P944" t="s">
        <v>46</v>
      </c>
      <c r="Q944" t="s">
        <v>57</v>
      </c>
      <c r="R944" t="s">
        <v>29</v>
      </c>
      <c r="S944">
        <v>2010</v>
      </c>
      <c r="T944" t="s">
        <v>36</v>
      </c>
      <c r="U944">
        <v>59706</v>
      </c>
      <c r="V944">
        <v>60.61</v>
      </c>
      <c r="W944">
        <v>57.43</v>
      </c>
      <c r="X944">
        <v>38.39</v>
      </c>
      <c r="Y944">
        <v>55.51</v>
      </c>
    </row>
    <row r="945" spans="1:25" x14ac:dyDescent="0.3">
      <c r="A945" t="s">
        <v>93</v>
      </c>
      <c r="B945" t="str">
        <f t="shared" si="14"/>
        <v>Jan</v>
      </c>
      <c r="C945" t="s">
        <v>90</v>
      </c>
      <c r="D945" t="s">
        <v>91</v>
      </c>
      <c r="E945">
        <v>369004363114.21997</v>
      </c>
      <c r="F945">
        <v>41117.03</v>
      </c>
      <c r="G945">
        <v>20356694161.52</v>
      </c>
      <c r="H945">
        <v>13454932</v>
      </c>
      <c r="I945">
        <v>18120365</v>
      </c>
      <c r="J945">
        <v>19111875</v>
      </c>
      <c r="K945">
        <v>7.77</v>
      </c>
      <c r="L945">
        <v>-4.1500000000000004</v>
      </c>
      <c r="M945">
        <v>1.02</v>
      </c>
      <c r="N945">
        <v>33</v>
      </c>
      <c r="O945">
        <v>134</v>
      </c>
      <c r="P945" t="s">
        <v>27</v>
      </c>
      <c r="Q945" t="s">
        <v>34</v>
      </c>
      <c r="R945" t="s">
        <v>35</v>
      </c>
      <c r="S945">
        <v>2020</v>
      </c>
      <c r="T945" t="s">
        <v>30</v>
      </c>
      <c r="U945">
        <v>36844</v>
      </c>
      <c r="V945">
        <v>87.24</v>
      </c>
      <c r="W945">
        <v>43.9</v>
      </c>
      <c r="X945">
        <v>54.09</v>
      </c>
      <c r="Y945">
        <v>90.75</v>
      </c>
    </row>
    <row r="946" spans="1:25" x14ac:dyDescent="0.3">
      <c r="A946" t="s">
        <v>338</v>
      </c>
      <c r="B946" t="str">
        <f t="shared" si="14"/>
        <v>Sep</v>
      </c>
      <c r="C946" t="s">
        <v>38</v>
      </c>
      <c r="D946" t="s">
        <v>39</v>
      </c>
      <c r="E946">
        <v>132293259754.16</v>
      </c>
      <c r="F946">
        <v>48321.38</v>
      </c>
      <c r="G946">
        <v>20851305664.25</v>
      </c>
      <c r="H946">
        <v>13910628</v>
      </c>
      <c r="I946">
        <v>14301417</v>
      </c>
      <c r="J946">
        <v>14433984</v>
      </c>
      <c r="K946">
        <v>5.69</v>
      </c>
      <c r="L946">
        <v>0.09</v>
      </c>
      <c r="M946">
        <v>-13.11</v>
      </c>
      <c r="N946">
        <v>-23.11</v>
      </c>
      <c r="O946">
        <v>80</v>
      </c>
      <c r="P946" t="s">
        <v>51</v>
      </c>
      <c r="Q946" t="s">
        <v>41</v>
      </c>
      <c r="R946" t="s">
        <v>42</v>
      </c>
      <c r="S946">
        <v>2015</v>
      </c>
      <c r="T946" t="s">
        <v>36</v>
      </c>
      <c r="U946">
        <v>25269</v>
      </c>
      <c r="V946">
        <v>19.66</v>
      </c>
      <c r="W946">
        <v>21.28</v>
      </c>
      <c r="X946">
        <v>86.62</v>
      </c>
      <c r="Y946">
        <v>48.5</v>
      </c>
    </row>
    <row r="947" spans="1:25" x14ac:dyDescent="0.3">
      <c r="A947" t="s">
        <v>153</v>
      </c>
      <c r="B947" t="str">
        <f t="shared" si="14"/>
        <v>Jan</v>
      </c>
      <c r="C947" t="s">
        <v>25</v>
      </c>
      <c r="D947" t="s">
        <v>26</v>
      </c>
      <c r="E947">
        <v>134041938104.86</v>
      </c>
      <c r="F947">
        <v>14879.11</v>
      </c>
      <c r="G947">
        <v>47592739749.940002</v>
      </c>
      <c r="H947">
        <v>7795573</v>
      </c>
      <c r="I947">
        <v>10354556</v>
      </c>
      <c r="J947">
        <v>10597354</v>
      </c>
      <c r="K947">
        <v>50.65</v>
      </c>
      <c r="L947">
        <v>-4.1399999999999997</v>
      </c>
      <c r="M947">
        <v>8.1199999999999992</v>
      </c>
      <c r="N947">
        <v>12.54</v>
      </c>
      <c r="O947">
        <v>50</v>
      </c>
      <c r="P947" t="s">
        <v>51</v>
      </c>
      <c r="Q947" t="s">
        <v>41</v>
      </c>
      <c r="R947" t="s">
        <v>42</v>
      </c>
      <c r="S947">
        <v>2012</v>
      </c>
      <c r="T947" t="s">
        <v>30</v>
      </c>
      <c r="U947">
        <v>49431</v>
      </c>
      <c r="V947">
        <v>33.56</v>
      </c>
      <c r="W947">
        <v>88.29</v>
      </c>
      <c r="X947">
        <v>59.62</v>
      </c>
      <c r="Y947">
        <v>31.17</v>
      </c>
    </row>
    <row r="948" spans="1:25" x14ac:dyDescent="0.3">
      <c r="A948" t="s">
        <v>209</v>
      </c>
      <c r="B948" t="str">
        <f t="shared" si="14"/>
        <v>Dec</v>
      </c>
      <c r="C948" t="s">
        <v>44</v>
      </c>
      <c r="D948" t="s">
        <v>45</v>
      </c>
      <c r="E948">
        <v>330833937994.28003</v>
      </c>
      <c r="F948">
        <v>42442.75</v>
      </c>
      <c r="G948">
        <v>42893327771.040001</v>
      </c>
      <c r="H948">
        <v>4794954</v>
      </c>
      <c r="I948">
        <v>8145605</v>
      </c>
      <c r="J948">
        <v>9139595</v>
      </c>
      <c r="K948">
        <v>15.7</v>
      </c>
      <c r="L948">
        <v>0.42</v>
      </c>
      <c r="M948">
        <v>14.67</v>
      </c>
      <c r="N948">
        <v>-39.61</v>
      </c>
      <c r="O948">
        <v>53</v>
      </c>
      <c r="P948" t="s">
        <v>46</v>
      </c>
      <c r="Q948" t="s">
        <v>47</v>
      </c>
      <c r="R948" t="s">
        <v>64</v>
      </c>
      <c r="S948">
        <v>2023</v>
      </c>
      <c r="T948" t="s">
        <v>36</v>
      </c>
      <c r="U948">
        <v>43468</v>
      </c>
      <c r="V948">
        <v>32.92</v>
      </c>
      <c r="W948">
        <v>73.28</v>
      </c>
      <c r="X948">
        <v>22.04</v>
      </c>
      <c r="Y948">
        <v>79.010000000000005</v>
      </c>
    </row>
    <row r="949" spans="1:25" x14ac:dyDescent="0.3">
      <c r="A949" t="s">
        <v>379</v>
      </c>
      <c r="B949" t="str">
        <f t="shared" si="14"/>
        <v>Jul</v>
      </c>
      <c r="C949" t="s">
        <v>60</v>
      </c>
      <c r="D949" t="s">
        <v>61</v>
      </c>
      <c r="E949">
        <v>808744585110.30005</v>
      </c>
      <c r="F949">
        <v>9584.2900000000009</v>
      </c>
      <c r="G949">
        <v>4824413959.46</v>
      </c>
      <c r="H949">
        <v>6867897</v>
      </c>
      <c r="I949">
        <v>8074843</v>
      </c>
      <c r="J949">
        <v>8540395</v>
      </c>
      <c r="K949">
        <v>7.99</v>
      </c>
      <c r="L949">
        <v>0.12</v>
      </c>
      <c r="M949">
        <v>5.69</v>
      </c>
      <c r="N949">
        <v>-22.18</v>
      </c>
      <c r="O949">
        <v>197</v>
      </c>
      <c r="P949" t="s">
        <v>40</v>
      </c>
      <c r="Q949" t="s">
        <v>28</v>
      </c>
      <c r="R949" t="s">
        <v>29</v>
      </c>
      <c r="S949">
        <v>2010</v>
      </c>
      <c r="T949" t="s">
        <v>30</v>
      </c>
      <c r="U949">
        <v>62635</v>
      </c>
      <c r="V949">
        <v>32.42</v>
      </c>
      <c r="W949">
        <v>82.43</v>
      </c>
      <c r="X949">
        <v>18.66</v>
      </c>
      <c r="Y949">
        <v>32.549999999999997</v>
      </c>
    </row>
    <row r="950" spans="1:25" x14ac:dyDescent="0.3">
      <c r="A950" t="s">
        <v>385</v>
      </c>
      <c r="B950" t="str">
        <f t="shared" si="14"/>
        <v>Nov</v>
      </c>
      <c r="C950" t="s">
        <v>78</v>
      </c>
      <c r="D950" t="s">
        <v>79</v>
      </c>
      <c r="E950">
        <v>335048716124.58002</v>
      </c>
      <c r="F950">
        <v>46258.98</v>
      </c>
      <c r="G950">
        <v>41782372054.5</v>
      </c>
      <c r="H950">
        <v>17500469</v>
      </c>
      <c r="I950">
        <v>18519769</v>
      </c>
      <c r="J950">
        <v>18758679</v>
      </c>
      <c r="K950">
        <v>48.4</v>
      </c>
      <c r="L950">
        <v>-2.59</v>
      </c>
      <c r="M950">
        <v>-6.23</v>
      </c>
      <c r="N950">
        <v>8.89</v>
      </c>
      <c r="O950">
        <v>57</v>
      </c>
      <c r="P950" t="s">
        <v>51</v>
      </c>
      <c r="Q950" t="s">
        <v>41</v>
      </c>
      <c r="R950" t="s">
        <v>42</v>
      </c>
      <c r="S950">
        <v>2023</v>
      </c>
      <c r="T950" t="s">
        <v>36</v>
      </c>
      <c r="U950">
        <v>48304</v>
      </c>
      <c r="V950">
        <v>63.65</v>
      </c>
      <c r="W950">
        <v>27.7</v>
      </c>
      <c r="X950">
        <v>70.73</v>
      </c>
      <c r="Y950">
        <v>62.01</v>
      </c>
    </row>
    <row r="951" spans="1:25" x14ac:dyDescent="0.3">
      <c r="A951" t="s">
        <v>265</v>
      </c>
      <c r="B951" t="str">
        <f t="shared" si="14"/>
        <v>Sep</v>
      </c>
      <c r="C951" t="s">
        <v>25</v>
      </c>
      <c r="D951" t="s">
        <v>26</v>
      </c>
      <c r="E951">
        <v>875800776447.73999</v>
      </c>
      <c r="F951">
        <v>43227.07</v>
      </c>
      <c r="G951">
        <v>2573127725.23</v>
      </c>
      <c r="H951">
        <v>7544850</v>
      </c>
      <c r="I951">
        <v>8140827</v>
      </c>
      <c r="J951">
        <v>9029342</v>
      </c>
      <c r="K951">
        <v>15.17</v>
      </c>
      <c r="L951">
        <v>1.0900000000000001</v>
      </c>
      <c r="M951">
        <v>16.489999999999998</v>
      </c>
      <c r="N951">
        <v>3.14</v>
      </c>
      <c r="O951">
        <v>69</v>
      </c>
      <c r="P951" t="s">
        <v>46</v>
      </c>
      <c r="Q951" t="s">
        <v>41</v>
      </c>
      <c r="R951" t="s">
        <v>64</v>
      </c>
      <c r="S951">
        <v>2013</v>
      </c>
      <c r="T951" t="s">
        <v>30</v>
      </c>
      <c r="U951">
        <v>27546</v>
      </c>
      <c r="V951">
        <v>86.16</v>
      </c>
      <c r="W951">
        <v>98.72</v>
      </c>
      <c r="X951">
        <v>33.15</v>
      </c>
      <c r="Y951">
        <v>89.89</v>
      </c>
    </row>
    <row r="952" spans="1:25" x14ac:dyDescent="0.3">
      <c r="A952" t="s">
        <v>310</v>
      </c>
      <c r="B952" t="str">
        <f t="shared" si="14"/>
        <v>Jan</v>
      </c>
      <c r="C952" t="s">
        <v>25</v>
      </c>
      <c r="D952" t="s">
        <v>26</v>
      </c>
      <c r="E952">
        <v>363673255017.34998</v>
      </c>
      <c r="F952">
        <v>16475.8</v>
      </c>
      <c r="G952">
        <v>17527717354.939999</v>
      </c>
      <c r="H952">
        <v>18273671</v>
      </c>
      <c r="I952">
        <v>23263466</v>
      </c>
      <c r="J952">
        <v>23452603</v>
      </c>
      <c r="K952">
        <v>23.56</v>
      </c>
      <c r="L952">
        <v>3.7</v>
      </c>
      <c r="M952">
        <v>-4.26</v>
      </c>
      <c r="N952">
        <v>-13.68</v>
      </c>
      <c r="O952">
        <v>159</v>
      </c>
      <c r="P952" t="s">
        <v>40</v>
      </c>
      <c r="Q952" t="s">
        <v>41</v>
      </c>
      <c r="R952" t="s">
        <v>42</v>
      </c>
      <c r="S952">
        <v>2017</v>
      </c>
      <c r="T952" t="s">
        <v>30</v>
      </c>
      <c r="U952">
        <v>30237</v>
      </c>
      <c r="V952">
        <v>10.55</v>
      </c>
      <c r="W952">
        <v>22.38</v>
      </c>
      <c r="X952">
        <v>60.88</v>
      </c>
      <c r="Y952">
        <v>40.46</v>
      </c>
    </row>
    <row r="953" spans="1:25" x14ac:dyDescent="0.3">
      <c r="A953" t="s">
        <v>182</v>
      </c>
      <c r="B953" t="str">
        <f t="shared" si="14"/>
        <v>Jun</v>
      </c>
      <c r="C953" t="s">
        <v>38</v>
      </c>
      <c r="D953" t="s">
        <v>39</v>
      </c>
      <c r="E953">
        <v>240836143131.34</v>
      </c>
      <c r="F953">
        <v>53871.4</v>
      </c>
      <c r="G953">
        <v>20795686176.189999</v>
      </c>
      <c r="H953">
        <v>4349394</v>
      </c>
      <c r="I953">
        <v>6120185</v>
      </c>
      <c r="J953">
        <v>6987156</v>
      </c>
      <c r="K953">
        <v>6.92</v>
      </c>
      <c r="L953">
        <v>4.16</v>
      </c>
      <c r="M953">
        <v>0.2</v>
      </c>
      <c r="N953">
        <v>18.559999999999999</v>
      </c>
      <c r="O953">
        <v>41</v>
      </c>
      <c r="P953" t="s">
        <v>40</v>
      </c>
      <c r="Q953" t="s">
        <v>41</v>
      </c>
      <c r="R953" t="s">
        <v>74</v>
      </c>
      <c r="S953">
        <v>2010</v>
      </c>
      <c r="T953" t="s">
        <v>36</v>
      </c>
      <c r="U953">
        <v>34541</v>
      </c>
      <c r="V953">
        <v>22.32</v>
      </c>
      <c r="W953">
        <v>44.78</v>
      </c>
      <c r="X953">
        <v>36.19</v>
      </c>
      <c r="Y953">
        <v>95.3</v>
      </c>
    </row>
    <row r="954" spans="1:25" x14ac:dyDescent="0.3">
      <c r="A954" t="s">
        <v>195</v>
      </c>
      <c r="B954" t="str">
        <f t="shared" si="14"/>
        <v>Nov</v>
      </c>
      <c r="C954" t="s">
        <v>90</v>
      </c>
      <c r="D954" t="s">
        <v>91</v>
      </c>
      <c r="E954">
        <v>726964325089.98999</v>
      </c>
      <c r="F954">
        <v>8807.48</v>
      </c>
      <c r="G954">
        <v>4062798799.1900001</v>
      </c>
      <c r="H954">
        <v>7713595</v>
      </c>
      <c r="I954">
        <v>8027394</v>
      </c>
      <c r="J954">
        <v>8119611</v>
      </c>
      <c r="K954">
        <v>55.1</v>
      </c>
      <c r="L954">
        <v>-2.68</v>
      </c>
      <c r="M954">
        <v>17.98</v>
      </c>
      <c r="N954">
        <v>5.95</v>
      </c>
      <c r="O954">
        <v>172</v>
      </c>
      <c r="P954" t="s">
        <v>27</v>
      </c>
      <c r="Q954" t="s">
        <v>47</v>
      </c>
      <c r="R954" t="s">
        <v>35</v>
      </c>
      <c r="S954">
        <v>2016</v>
      </c>
      <c r="T954" t="s">
        <v>30</v>
      </c>
      <c r="U954">
        <v>21024</v>
      </c>
      <c r="V954">
        <v>84.24</v>
      </c>
      <c r="W954">
        <v>85.16</v>
      </c>
      <c r="X954">
        <v>79.34</v>
      </c>
      <c r="Y954">
        <v>35.58</v>
      </c>
    </row>
    <row r="955" spans="1:25" x14ac:dyDescent="0.3">
      <c r="A955" t="s">
        <v>179</v>
      </c>
      <c r="B955" t="str">
        <f t="shared" si="14"/>
        <v>Jul</v>
      </c>
      <c r="C955" t="s">
        <v>55</v>
      </c>
      <c r="D955" t="s">
        <v>56</v>
      </c>
      <c r="E955">
        <v>572876534609.87</v>
      </c>
      <c r="F955">
        <v>14921.23</v>
      </c>
      <c r="G955">
        <v>27045759279.709999</v>
      </c>
      <c r="H955">
        <v>3926682</v>
      </c>
      <c r="I955">
        <v>8648834</v>
      </c>
      <c r="J955">
        <v>9218280</v>
      </c>
      <c r="K955">
        <v>53.67</v>
      </c>
      <c r="L955">
        <v>3.45</v>
      </c>
      <c r="M955">
        <v>-19.010000000000002</v>
      </c>
      <c r="N955">
        <v>-16.350000000000001</v>
      </c>
      <c r="O955">
        <v>129</v>
      </c>
      <c r="P955" t="s">
        <v>40</v>
      </c>
      <c r="Q955" t="s">
        <v>34</v>
      </c>
      <c r="R955" t="s">
        <v>64</v>
      </c>
      <c r="S955">
        <v>2017</v>
      </c>
      <c r="T955" t="s">
        <v>58</v>
      </c>
      <c r="U955">
        <v>46986</v>
      </c>
      <c r="V955">
        <v>41.37</v>
      </c>
      <c r="W955">
        <v>60.02</v>
      </c>
      <c r="X955">
        <v>40.68</v>
      </c>
      <c r="Y955">
        <v>87.73</v>
      </c>
    </row>
    <row r="956" spans="1:25" x14ac:dyDescent="0.3">
      <c r="A956" t="s">
        <v>374</v>
      </c>
      <c r="B956" t="str">
        <f t="shared" si="14"/>
        <v>Jul</v>
      </c>
      <c r="C956" t="s">
        <v>90</v>
      </c>
      <c r="D956" t="s">
        <v>91</v>
      </c>
      <c r="E956">
        <v>161210332277.79999</v>
      </c>
      <c r="F956">
        <v>63272.74</v>
      </c>
      <c r="G956">
        <v>779376613.47000003</v>
      </c>
      <c r="H956">
        <v>11469083</v>
      </c>
      <c r="I956">
        <v>15579033</v>
      </c>
      <c r="J956">
        <v>15846641</v>
      </c>
      <c r="K956">
        <v>48.55</v>
      </c>
      <c r="L956">
        <v>4.76</v>
      </c>
      <c r="M956">
        <v>-4.6399999999999997</v>
      </c>
      <c r="N956">
        <v>16.63</v>
      </c>
      <c r="O956">
        <v>17</v>
      </c>
      <c r="P956" t="s">
        <v>46</v>
      </c>
      <c r="Q956" t="s">
        <v>47</v>
      </c>
      <c r="R956" t="s">
        <v>35</v>
      </c>
      <c r="S956">
        <v>2014</v>
      </c>
      <c r="T956" t="s">
        <v>30</v>
      </c>
      <c r="U956">
        <v>43609</v>
      </c>
      <c r="V956">
        <v>35.94</v>
      </c>
      <c r="W956">
        <v>54.12</v>
      </c>
      <c r="X956">
        <v>68.290000000000006</v>
      </c>
      <c r="Y956">
        <v>67.03</v>
      </c>
    </row>
    <row r="957" spans="1:25" x14ac:dyDescent="0.3">
      <c r="A957" t="s">
        <v>358</v>
      </c>
      <c r="B957" t="str">
        <f t="shared" si="14"/>
        <v>Mar</v>
      </c>
      <c r="C957" t="s">
        <v>32</v>
      </c>
      <c r="D957" t="s">
        <v>33</v>
      </c>
      <c r="E957">
        <v>97220651860.860001</v>
      </c>
      <c r="F957">
        <v>27970.74</v>
      </c>
      <c r="G957">
        <v>1010252112.2</v>
      </c>
      <c r="H957">
        <v>12725532</v>
      </c>
      <c r="I957">
        <v>13761871</v>
      </c>
      <c r="J957">
        <v>13961214</v>
      </c>
      <c r="K957">
        <v>48.37</v>
      </c>
      <c r="L957">
        <v>2.16</v>
      </c>
      <c r="M957">
        <v>1.95</v>
      </c>
      <c r="N957">
        <v>0.72</v>
      </c>
      <c r="O957">
        <v>29</v>
      </c>
      <c r="P957" t="s">
        <v>40</v>
      </c>
      <c r="Q957" t="s">
        <v>28</v>
      </c>
      <c r="R957" t="s">
        <v>42</v>
      </c>
      <c r="S957">
        <v>2018</v>
      </c>
      <c r="T957" t="s">
        <v>36</v>
      </c>
      <c r="U957">
        <v>27088</v>
      </c>
      <c r="V957">
        <v>45.72</v>
      </c>
      <c r="W957">
        <v>32.33</v>
      </c>
      <c r="X957">
        <v>55.14</v>
      </c>
      <c r="Y957">
        <v>84.08</v>
      </c>
    </row>
    <row r="958" spans="1:25" x14ac:dyDescent="0.3">
      <c r="A958" t="s">
        <v>315</v>
      </c>
      <c r="B958" t="str">
        <f t="shared" si="14"/>
        <v>Sep</v>
      </c>
      <c r="C958" t="s">
        <v>44</v>
      </c>
      <c r="D958" t="s">
        <v>45</v>
      </c>
      <c r="E958">
        <v>152718456942.10999</v>
      </c>
      <c r="F958">
        <v>24224.85</v>
      </c>
      <c r="G958">
        <v>5681529288.9399996</v>
      </c>
      <c r="H958">
        <v>6171921</v>
      </c>
      <c r="I958">
        <v>9031780</v>
      </c>
      <c r="J958">
        <v>9456442</v>
      </c>
      <c r="K958">
        <v>15.58</v>
      </c>
      <c r="L958">
        <v>-3.77</v>
      </c>
      <c r="M958">
        <v>7.81</v>
      </c>
      <c r="N958">
        <v>20.65</v>
      </c>
      <c r="O958">
        <v>32</v>
      </c>
      <c r="P958" t="s">
        <v>40</v>
      </c>
      <c r="Q958" t="s">
        <v>41</v>
      </c>
      <c r="R958" t="s">
        <v>64</v>
      </c>
      <c r="S958">
        <v>2014</v>
      </c>
      <c r="T958" t="s">
        <v>36</v>
      </c>
      <c r="U958">
        <v>64416</v>
      </c>
      <c r="V958">
        <v>73.59</v>
      </c>
      <c r="W958">
        <v>49.81</v>
      </c>
      <c r="X958">
        <v>23.25</v>
      </c>
      <c r="Y958">
        <v>67.489999999999995</v>
      </c>
    </row>
    <row r="959" spans="1:25" x14ac:dyDescent="0.3">
      <c r="A959" t="s">
        <v>70</v>
      </c>
      <c r="B959" t="str">
        <f t="shared" si="14"/>
        <v>Dec</v>
      </c>
      <c r="C959" t="s">
        <v>60</v>
      </c>
      <c r="D959" t="s">
        <v>61</v>
      </c>
      <c r="E959">
        <v>471035324812.02002</v>
      </c>
      <c r="F959">
        <v>4528</v>
      </c>
      <c r="G959">
        <v>21658071876.080002</v>
      </c>
      <c r="H959">
        <v>13781462</v>
      </c>
      <c r="I959">
        <v>15114960</v>
      </c>
      <c r="J959">
        <v>16081765</v>
      </c>
      <c r="K959">
        <v>0.12</v>
      </c>
      <c r="L959">
        <v>3.61</v>
      </c>
      <c r="M959">
        <v>8.36</v>
      </c>
      <c r="N959">
        <v>-34.81</v>
      </c>
      <c r="O959">
        <v>4</v>
      </c>
      <c r="P959" t="s">
        <v>40</v>
      </c>
      <c r="Q959" t="s">
        <v>34</v>
      </c>
      <c r="R959" t="s">
        <v>42</v>
      </c>
      <c r="S959">
        <v>2011</v>
      </c>
      <c r="T959" t="s">
        <v>30</v>
      </c>
      <c r="U959">
        <v>45559</v>
      </c>
      <c r="V959">
        <v>54.11</v>
      </c>
      <c r="W959">
        <v>40.25</v>
      </c>
      <c r="X959">
        <v>17.239999999999998</v>
      </c>
      <c r="Y959">
        <v>82.39</v>
      </c>
    </row>
    <row r="960" spans="1:25" x14ac:dyDescent="0.3">
      <c r="A960" t="s">
        <v>400</v>
      </c>
      <c r="B960" t="str">
        <f t="shared" si="14"/>
        <v>Jan</v>
      </c>
      <c r="C960" t="s">
        <v>44</v>
      </c>
      <c r="D960" t="s">
        <v>45</v>
      </c>
      <c r="E960">
        <v>52864674687.949997</v>
      </c>
      <c r="F960">
        <v>57960.62</v>
      </c>
      <c r="G960">
        <v>23269249511.59</v>
      </c>
      <c r="H960">
        <v>3974043</v>
      </c>
      <c r="I960">
        <v>7598763</v>
      </c>
      <c r="J960">
        <v>8447969</v>
      </c>
      <c r="K960">
        <v>52.68</v>
      </c>
      <c r="L960">
        <v>-4.13</v>
      </c>
      <c r="M960">
        <v>-7.71</v>
      </c>
      <c r="N960">
        <v>-30.98</v>
      </c>
      <c r="O960">
        <v>38</v>
      </c>
      <c r="P960" t="s">
        <v>51</v>
      </c>
      <c r="Q960" t="s">
        <v>34</v>
      </c>
      <c r="R960" t="s">
        <v>74</v>
      </c>
      <c r="S960">
        <v>2016</v>
      </c>
      <c r="T960" t="s">
        <v>36</v>
      </c>
      <c r="U960">
        <v>16943</v>
      </c>
      <c r="V960">
        <v>89.52</v>
      </c>
      <c r="W960">
        <v>76.86</v>
      </c>
      <c r="X960">
        <v>47.5</v>
      </c>
      <c r="Y960">
        <v>44.07</v>
      </c>
    </row>
    <row r="961" spans="1:25" x14ac:dyDescent="0.3">
      <c r="A961" t="s">
        <v>129</v>
      </c>
      <c r="B961" t="str">
        <f t="shared" si="14"/>
        <v>Jan</v>
      </c>
      <c r="C961" t="s">
        <v>25</v>
      </c>
      <c r="D961" t="s">
        <v>26</v>
      </c>
      <c r="E961">
        <v>364033912517.66998</v>
      </c>
      <c r="F961">
        <v>57413.9</v>
      </c>
      <c r="G961">
        <v>11057765383.370001</v>
      </c>
      <c r="H961">
        <v>17175056</v>
      </c>
      <c r="I961">
        <v>21843974</v>
      </c>
      <c r="J961">
        <v>21948782</v>
      </c>
      <c r="K961">
        <v>54.23</v>
      </c>
      <c r="L961">
        <v>-0.28000000000000003</v>
      </c>
      <c r="M961">
        <v>12.84</v>
      </c>
      <c r="N961">
        <v>-17.260000000000002</v>
      </c>
      <c r="O961">
        <v>107</v>
      </c>
      <c r="P961" t="s">
        <v>53</v>
      </c>
      <c r="Q961" t="s">
        <v>34</v>
      </c>
      <c r="R961" t="s">
        <v>64</v>
      </c>
      <c r="S961">
        <v>2013</v>
      </c>
      <c r="T961" t="s">
        <v>30</v>
      </c>
      <c r="U961">
        <v>5898</v>
      </c>
      <c r="V961">
        <v>32.33</v>
      </c>
      <c r="W961">
        <v>28.85</v>
      </c>
      <c r="X961">
        <v>22.95</v>
      </c>
      <c r="Y961">
        <v>94.29</v>
      </c>
    </row>
    <row r="962" spans="1:25" x14ac:dyDescent="0.3">
      <c r="A962" t="s">
        <v>325</v>
      </c>
      <c r="B962" t="str">
        <f t="shared" ref="B962:B1001" si="15">TEXT(A962,"MMM")</f>
        <v>Jan</v>
      </c>
      <c r="C962" t="s">
        <v>25</v>
      </c>
      <c r="D962" t="s">
        <v>26</v>
      </c>
      <c r="E962">
        <v>604781894455.29004</v>
      </c>
      <c r="F962">
        <v>19028.84</v>
      </c>
      <c r="G962">
        <v>10301700359.389999</v>
      </c>
      <c r="H962">
        <v>18354243</v>
      </c>
      <c r="I962">
        <v>18740716</v>
      </c>
      <c r="J962">
        <v>18841797</v>
      </c>
      <c r="K962">
        <v>48.57</v>
      </c>
      <c r="L962">
        <v>-2.4700000000000002</v>
      </c>
      <c r="M962">
        <v>18.82</v>
      </c>
      <c r="N962">
        <v>-34.4</v>
      </c>
      <c r="O962">
        <v>89</v>
      </c>
      <c r="P962" t="s">
        <v>53</v>
      </c>
      <c r="Q962" t="s">
        <v>28</v>
      </c>
      <c r="R962" t="s">
        <v>29</v>
      </c>
      <c r="S962">
        <v>2022</v>
      </c>
      <c r="T962" t="s">
        <v>30</v>
      </c>
      <c r="U962">
        <v>446</v>
      </c>
      <c r="V962">
        <v>76.08</v>
      </c>
      <c r="W962">
        <v>76.89</v>
      </c>
      <c r="X962">
        <v>97.09</v>
      </c>
      <c r="Y962">
        <v>43.12</v>
      </c>
    </row>
    <row r="963" spans="1:25" x14ac:dyDescent="0.3">
      <c r="A963" t="s">
        <v>221</v>
      </c>
      <c r="B963" t="str">
        <f t="shared" si="15"/>
        <v>Apr</v>
      </c>
      <c r="C963" t="s">
        <v>60</v>
      </c>
      <c r="D963" t="s">
        <v>61</v>
      </c>
      <c r="E963">
        <v>792649380417.45996</v>
      </c>
      <c r="F963">
        <v>47621.34</v>
      </c>
      <c r="G963">
        <v>33885206353.09</v>
      </c>
      <c r="H963">
        <v>6022030</v>
      </c>
      <c r="I963">
        <v>7041340</v>
      </c>
      <c r="J963">
        <v>7968966</v>
      </c>
      <c r="K963">
        <v>26.38</v>
      </c>
      <c r="L963">
        <v>4.71</v>
      </c>
      <c r="M963">
        <v>4.0599999999999996</v>
      </c>
      <c r="N963">
        <v>9.5500000000000007</v>
      </c>
      <c r="O963">
        <v>77</v>
      </c>
      <c r="P963" t="s">
        <v>40</v>
      </c>
      <c r="Q963" t="s">
        <v>57</v>
      </c>
      <c r="R963" t="s">
        <v>29</v>
      </c>
      <c r="S963">
        <v>2010</v>
      </c>
      <c r="T963" t="s">
        <v>30</v>
      </c>
      <c r="U963">
        <v>16865</v>
      </c>
      <c r="V963">
        <v>21.96</v>
      </c>
      <c r="W963">
        <v>52.79</v>
      </c>
      <c r="X963">
        <v>36.880000000000003</v>
      </c>
      <c r="Y963">
        <v>79.58</v>
      </c>
    </row>
    <row r="964" spans="1:25" x14ac:dyDescent="0.3">
      <c r="A964" t="s">
        <v>206</v>
      </c>
      <c r="B964" t="str">
        <f t="shared" si="15"/>
        <v>Jul</v>
      </c>
      <c r="C964" t="s">
        <v>32</v>
      </c>
      <c r="D964" t="s">
        <v>33</v>
      </c>
      <c r="E964">
        <v>757863989532.65002</v>
      </c>
      <c r="F964">
        <v>38371.83</v>
      </c>
      <c r="G964">
        <v>17181679523.23</v>
      </c>
      <c r="H964">
        <v>16368872</v>
      </c>
      <c r="I964">
        <v>19561884</v>
      </c>
      <c r="J964">
        <v>19683832</v>
      </c>
      <c r="K964">
        <v>43.5</v>
      </c>
      <c r="L964">
        <v>-4.34</v>
      </c>
      <c r="M964">
        <v>-14.96</v>
      </c>
      <c r="N964">
        <v>28.34</v>
      </c>
      <c r="O964">
        <v>83</v>
      </c>
      <c r="P964" t="s">
        <v>40</v>
      </c>
      <c r="Q964" t="s">
        <v>34</v>
      </c>
      <c r="R964" t="s">
        <v>29</v>
      </c>
      <c r="S964">
        <v>2013</v>
      </c>
      <c r="T964" t="s">
        <v>36</v>
      </c>
      <c r="U964">
        <v>46629</v>
      </c>
      <c r="V964">
        <v>85.16</v>
      </c>
      <c r="W964">
        <v>90.48</v>
      </c>
      <c r="X964">
        <v>87.35</v>
      </c>
      <c r="Y964">
        <v>63.21</v>
      </c>
    </row>
    <row r="965" spans="1:25" x14ac:dyDescent="0.3">
      <c r="A965" t="s">
        <v>256</v>
      </c>
      <c r="B965" t="str">
        <f t="shared" si="15"/>
        <v>Jun</v>
      </c>
      <c r="C965" t="s">
        <v>49</v>
      </c>
      <c r="D965" t="s">
        <v>50</v>
      </c>
      <c r="E965">
        <v>499543738396.31</v>
      </c>
      <c r="F965">
        <v>17998.29</v>
      </c>
      <c r="G965">
        <v>2206164478.1599998</v>
      </c>
      <c r="H965">
        <v>8190598</v>
      </c>
      <c r="I965">
        <v>10809345</v>
      </c>
      <c r="J965">
        <v>11150985</v>
      </c>
      <c r="K965">
        <v>40.049999999999997</v>
      </c>
      <c r="L965">
        <v>-1.17</v>
      </c>
      <c r="M965">
        <v>-6.57</v>
      </c>
      <c r="N965">
        <v>-28.49</v>
      </c>
      <c r="O965">
        <v>191</v>
      </c>
      <c r="P965" t="s">
        <v>40</v>
      </c>
      <c r="Q965" t="s">
        <v>41</v>
      </c>
      <c r="R965" t="s">
        <v>64</v>
      </c>
      <c r="S965">
        <v>2016</v>
      </c>
      <c r="T965" t="s">
        <v>36</v>
      </c>
      <c r="U965">
        <v>33919</v>
      </c>
      <c r="V965">
        <v>29.79</v>
      </c>
      <c r="W965">
        <v>86.19</v>
      </c>
      <c r="X965">
        <v>80.03</v>
      </c>
      <c r="Y965">
        <v>36.520000000000003</v>
      </c>
    </row>
    <row r="966" spans="1:25" x14ac:dyDescent="0.3">
      <c r="A966" t="s">
        <v>128</v>
      </c>
      <c r="B966" t="str">
        <f t="shared" si="15"/>
        <v>Nov</v>
      </c>
      <c r="C966" t="s">
        <v>32</v>
      </c>
      <c r="D966" t="s">
        <v>33</v>
      </c>
      <c r="E966">
        <v>3080099477.9299998</v>
      </c>
      <c r="F966">
        <v>43784.99</v>
      </c>
      <c r="G966">
        <v>22731956072.360001</v>
      </c>
      <c r="H966">
        <v>16380158</v>
      </c>
      <c r="I966">
        <v>19190472</v>
      </c>
      <c r="J966">
        <v>19200948</v>
      </c>
      <c r="K966">
        <v>55.8</v>
      </c>
      <c r="L966">
        <v>-2.5499999999999998</v>
      </c>
      <c r="M966">
        <v>12.63</v>
      </c>
      <c r="N966">
        <v>-38.08</v>
      </c>
      <c r="O966">
        <v>56</v>
      </c>
      <c r="P966" t="s">
        <v>51</v>
      </c>
      <c r="Q966" t="s">
        <v>34</v>
      </c>
      <c r="R966" t="s">
        <v>29</v>
      </c>
      <c r="S966">
        <v>2015</v>
      </c>
      <c r="T966" t="s">
        <v>36</v>
      </c>
      <c r="U966">
        <v>33753</v>
      </c>
      <c r="V966">
        <v>14.19</v>
      </c>
      <c r="W966">
        <v>76.040000000000006</v>
      </c>
      <c r="X966">
        <v>51.29</v>
      </c>
      <c r="Y966">
        <v>49.64</v>
      </c>
    </row>
    <row r="967" spans="1:25" x14ac:dyDescent="0.3">
      <c r="A967" t="s">
        <v>224</v>
      </c>
      <c r="B967" t="str">
        <f t="shared" si="15"/>
        <v>Jun</v>
      </c>
      <c r="C967" t="s">
        <v>78</v>
      </c>
      <c r="D967" t="s">
        <v>79</v>
      </c>
      <c r="E967">
        <v>194253600864.76001</v>
      </c>
      <c r="F967">
        <v>14755.2</v>
      </c>
      <c r="G967">
        <v>17940748541.360001</v>
      </c>
      <c r="H967">
        <v>8692878</v>
      </c>
      <c r="I967">
        <v>11598262</v>
      </c>
      <c r="J967">
        <v>11828252</v>
      </c>
      <c r="K967">
        <v>48.06</v>
      </c>
      <c r="L967">
        <v>3.31</v>
      </c>
      <c r="M967">
        <v>4.49</v>
      </c>
      <c r="N967">
        <v>16.95</v>
      </c>
      <c r="O967">
        <v>5</v>
      </c>
      <c r="P967" t="s">
        <v>40</v>
      </c>
      <c r="Q967" t="s">
        <v>57</v>
      </c>
      <c r="R967" t="s">
        <v>35</v>
      </c>
      <c r="S967">
        <v>2010</v>
      </c>
      <c r="T967" t="s">
        <v>36</v>
      </c>
      <c r="U967">
        <v>15823</v>
      </c>
      <c r="V967">
        <v>69</v>
      </c>
      <c r="W967">
        <v>95.93</v>
      </c>
      <c r="X967">
        <v>94.62</v>
      </c>
      <c r="Y967">
        <v>51.34</v>
      </c>
    </row>
    <row r="968" spans="1:25" x14ac:dyDescent="0.3">
      <c r="A968" t="s">
        <v>372</v>
      </c>
      <c r="B968" t="str">
        <f t="shared" si="15"/>
        <v>Jul</v>
      </c>
      <c r="C968" t="s">
        <v>68</v>
      </c>
      <c r="D968" t="s">
        <v>69</v>
      </c>
      <c r="E968">
        <v>561530970944.59998</v>
      </c>
      <c r="F968">
        <v>42089.91</v>
      </c>
      <c r="G968">
        <v>33157120966.869999</v>
      </c>
      <c r="H968">
        <v>15269411</v>
      </c>
      <c r="I968">
        <v>16205933</v>
      </c>
      <c r="J968">
        <v>16780467</v>
      </c>
      <c r="K968">
        <v>13.22</v>
      </c>
      <c r="L968">
        <v>3.74</v>
      </c>
      <c r="M968">
        <v>-2.3199999999999998</v>
      </c>
      <c r="N968">
        <v>4.87</v>
      </c>
      <c r="O968">
        <v>113</v>
      </c>
      <c r="P968" t="s">
        <v>51</v>
      </c>
      <c r="Q968" t="s">
        <v>57</v>
      </c>
      <c r="R968" t="s">
        <v>29</v>
      </c>
      <c r="S968">
        <v>2016</v>
      </c>
      <c r="T968" t="s">
        <v>36</v>
      </c>
      <c r="U968">
        <v>62790</v>
      </c>
      <c r="V968">
        <v>71.98</v>
      </c>
      <c r="W968">
        <v>90.84</v>
      </c>
      <c r="X968">
        <v>77.56</v>
      </c>
      <c r="Y968">
        <v>23.23</v>
      </c>
    </row>
    <row r="969" spans="1:25" x14ac:dyDescent="0.3">
      <c r="A969" t="s">
        <v>344</v>
      </c>
      <c r="B969" t="str">
        <f t="shared" si="15"/>
        <v>Dec</v>
      </c>
      <c r="C969" t="s">
        <v>68</v>
      </c>
      <c r="D969" t="s">
        <v>69</v>
      </c>
      <c r="E969">
        <v>627514848984.32996</v>
      </c>
      <c r="F969">
        <v>51801.45</v>
      </c>
      <c r="G969">
        <v>36254239998.540001</v>
      </c>
      <c r="H969">
        <v>10899075</v>
      </c>
      <c r="I969">
        <v>13303184</v>
      </c>
      <c r="J969">
        <v>13862641</v>
      </c>
      <c r="K969">
        <v>18.010000000000002</v>
      </c>
      <c r="L969">
        <v>0.55000000000000004</v>
      </c>
      <c r="M969">
        <v>-9.8000000000000007</v>
      </c>
      <c r="N969">
        <v>0.75</v>
      </c>
      <c r="O969">
        <v>104</v>
      </c>
      <c r="P969" t="s">
        <v>53</v>
      </c>
      <c r="Q969" t="s">
        <v>47</v>
      </c>
      <c r="R969" t="s">
        <v>64</v>
      </c>
      <c r="S969">
        <v>2018</v>
      </c>
      <c r="T969" t="s">
        <v>36</v>
      </c>
      <c r="U969">
        <v>17859</v>
      </c>
      <c r="V969">
        <v>65.53</v>
      </c>
      <c r="W969">
        <v>61.17</v>
      </c>
      <c r="X969">
        <v>38.93</v>
      </c>
      <c r="Y969">
        <v>99.57</v>
      </c>
    </row>
    <row r="970" spans="1:25" x14ac:dyDescent="0.3">
      <c r="A970" t="s">
        <v>136</v>
      </c>
      <c r="B970" t="str">
        <f t="shared" si="15"/>
        <v>Aug</v>
      </c>
      <c r="C970" t="s">
        <v>55</v>
      </c>
      <c r="D970" t="s">
        <v>56</v>
      </c>
      <c r="E970">
        <v>769314696483.89001</v>
      </c>
      <c r="F970">
        <v>9978.67</v>
      </c>
      <c r="G970">
        <v>408847297.27999997</v>
      </c>
      <c r="H970">
        <v>1583743</v>
      </c>
      <c r="I970">
        <v>3059007</v>
      </c>
      <c r="J970">
        <v>3363865</v>
      </c>
      <c r="K970">
        <v>54.64</v>
      </c>
      <c r="L970">
        <v>2.1800000000000002</v>
      </c>
      <c r="M970">
        <v>16.440000000000001</v>
      </c>
      <c r="N970">
        <v>33.21</v>
      </c>
      <c r="O970">
        <v>83</v>
      </c>
      <c r="P970" t="s">
        <v>51</v>
      </c>
      <c r="Q970" t="s">
        <v>34</v>
      </c>
      <c r="R970" t="s">
        <v>74</v>
      </c>
      <c r="S970">
        <v>2016</v>
      </c>
      <c r="T970" t="s">
        <v>58</v>
      </c>
      <c r="U970">
        <v>5914</v>
      </c>
      <c r="V970">
        <v>82.97</v>
      </c>
      <c r="W970">
        <v>61.39</v>
      </c>
      <c r="X970">
        <v>30.75</v>
      </c>
      <c r="Y970">
        <v>16.75</v>
      </c>
    </row>
    <row r="971" spans="1:25" x14ac:dyDescent="0.3">
      <c r="A971" t="s">
        <v>222</v>
      </c>
      <c r="B971" t="str">
        <f t="shared" si="15"/>
        <v>Jun</v>
      </c>
      <c r="C971" t="s">
        <v>55</v>
      </c>
      <c r="D971" t="s">
        <v>56</v>
      </c>
      <c r="E971">
        <v>799862954397.82996</v>
      </c>
      <c r="F971">
        <v>61018.44</v>
      </c>
      <c r="G971">
        <v>38471166960.050003</v>
      </c>
      <c r="H971">
        <v>8619836</v>
      </c>
      <c r="I971">
        <v>11945894</v>
      </c>
      <c r="J971">
        <v>12228998</v>
      </c>
      <c r="K971">
        <v>17.84</v>
      </c>
      <c r="L971">
        <v>-3.88</v>
      </c>
      <c r="M971">
        <v>9.51</v>
      </c>
      <c r="N971">
        <v>-37.08</v>
      </c>
      <c r="O971">
        <v>187</v>
      </c>
      <c r="P971" t="s">
        <v>51</v>
      </c>
      <c r="Q971" t="s">
        <v>34</v>
      </c>
      <c r="R971" t="s">
        <v>64</v>
      </c>
      <c r="S971">
        <v>2019</v>
      </c>
      <c r="T971" t="s">
        <v>58</v>
      </c>
      <c r="U971">
        <v>34333</v>
      </c>
      <c r="V971">
        <v>83.15</v>
      </c>
      <c r="W971">
        <v>68.7</v>
      </c>
      <c r="X971">
        <v>63.98</v>
      </c>
      <c r="Y971">
        <v>71.73</v>
      </c>
    </row>
    <row r="972" spans="1:25" x14ac:dyDescent="0.3">
      <c r="A972" t="s">
        <v>117</v>
      </c>
      <c r="B972" t="str">
        <f t="shared" si="15"/>
        <v>Apr</v>
      </c>
      <c r="C972" t="s">
        <v>78</v>
      </c>
      <c r="D972" t="s">
        <v>79</v>
      </c>
      <c r="E972">
        <v>742593182242.08997</v>
      </c>
      <c r="F972">
        <v>60788.02</v>
      </c>
      <c r="G972">
        <v>36677535209.629997</v>
      </c>
      <c r="H972">
        <v>12200820</v>
      </c>
      <c r="I972">
        <v>12707694</v>
      </c>
      <c r="J972">
        <v>12818310</v>
      </c>
      <c r="K972">
        <v>14.19</v>
      </c>
      <c r="L972">
        <v>2.25</v>
      </c>
      <c r="M972">
        <v>-12.29</v>
      </c>
      <c r="N972">
        <v>0.21</v>
      </c>
      <c r="O972">
        <v>196</v>
      </c>
      <c r="P972" t="s">
        <v>46</v>
      </c>
      <c r="Q972" t="s">
        <v>28</v>
      </c>
      <c r="R972" t="s">
        <v>35</v>
      </c>
      <c r="S972">
        <v>2023</v>
      </c>
      <c r="T972" t="s">
        <v>36</v>
      </c>
      <c r="U972">
        <v>41166</v>
      </c>
      <c r="V972">
        <v>97.95</v>
      </c>
      <c r="W972">
        <v>47.02</v>
      </c>
      <c r="X972">
        <v>71.16</v>
      </c>
      <c r="Y972">
        <v>22.94</v>
      </c>
    </row>
    <row r="973" spans="1:25" x14ac:dyDescent="0.3">
      <c r="A973" t="s">
        <v>368</v>
      </c>
      <c r="B973" t="str">
        <f t="shared" si="15"/>
        <v>Jan</v>
      </c>
      <c r="C973" t="s">
        <v>32</v>
      </c>
      <c r="D973" t="s">
        <v>33</v>
      </c>
      <c r="E973">
        <v>729356749223.85999</v>
      </c>
      <c r="F973">
        <v>32602.41</v>
      </c>
      <c r="G973">
        <v>120898020.61</v>
      </c>
      <c r="H973">
        <v>18345900</v>
      </c>
      <c r="I973">
        <v>20714030</v>
      </c>
      <c r="J973">
        <v>20816048</v>
      </c>
      <c r="K973">
        <v>0.06</v>
      </c>
      <c r="L973">
        <v>2.65</v>
      </c>
      <c r="M973">
        <v>-2.19</v>
      </c>
      <c r="N973">
        <v>32.51</v>
      </c>
      <c r="O973">
        <v>110</v>
      </c>
      <c r="P973" t="s">
        <v>51</v>
      </c>
      <c r="Q973" t="s">
        <v>47</v>
      </c>
      <c r="R973" t="s">
        <v>35</v>
      </c>
      <c r="S973">
        <v>2015</v>
      </c>
      <c r="T973" t="s">
        <v>36</v>
      </c>
      <c r="U973">
        <v>25006</v>
      </c>
      <c r="V973">
        <v>57.51</v>
      </c>
      <c r="W973">
        <v>32.119999999999997</v>
      </c>
      <c r="X973">
        <v>33.049999999999997</v>
      </c>
      <c r="Y973">
        <v>33.64</v>
      </c>
    </row>
    <row r="974" spans="1:25" x14ac:dyDescent="0.3">
      <c r="A974" t="s">
        <v>114</v>
      </c>
      <c r="B974" t="str">
        <f t="shared" si="15"/>
        <v>Jan</v>
      </c>
      <c r="C974" t="s">
        <v>68</v>
      </c>
      <c r="D974" t="s">
        <v>69</v>
      </c>
      <c r="E974">
        <v>605411985432.29004</v>
      </c>
      <c r="F974">
        <v>5786.51</v>
      </c>
      <c r="G974">
        <v>40380019370.639999</v>
      </c>
      <c r="H974">
        <v>7114982</v>
      </c>
      <c r="I974">
        <v>9245908</v>
      </c>
      <c r="J974">
        <v>9360035</v>
      </c>
      <c r="K974">
        <v>17.850000000000001</v>
      </c>
      <c r="L974">
        <v>-4.83</v>
      </c>
      <c r="M974">
        <v>6.96</v>
      </c>
      <c r="N974">
        <v>11.47</v>
      </c>
      <c r="O974">
        <v>159</v>
      </c>
      <c r="P974" t="s">
        <v>46</v>
      </c>
      <c r="Q974" t="s">
        <v>57</v>
      </c>
      <c r="R974" t="s">
        <v>64</v>
      </c>
      <c r="S974">
        <v>2012</v>
      </c>
      <c r="T974" t="s">
        <v>36</v>
      </c>
      <c r="U974">
        <v>15088</v>
      </c>
      <c r="V974">
        <v>19.7</v>
      </c>
      <c r="W974">
        <v>99.26</v>
      </c>
      <c r="X974">
        <v>90.3</v>
      </c>
      <c r="Y974">
        <v>90</v>
      </c>
    </row>
    <row r="975" spans="1:25" x14ac:dyDescent="0.3">
      <c r="A975" t="s">
        <v>366</v>
      </c>
      <c r="B975" t="str">
        <f t="shared" si="15"/>
        <v>Jul</v>
      </c>
      <c r="C975" t="s">
        <v>68</v>
      </c>
      <c r="D975" t="s">
        <v>69</v>
      </c>
      <c r="E975">
        <v>786731595241.06006</v>
      </c>
      <c r="F975">
        <v>61096.75</v>
      </c>
      <c r="G975">
        <v>18539993459.900002</v>
      </c>
      <c r="H975">
        <v>12333224</v>
      </c>
      <c r="I975">
        <v>15596520</v>
      </c>
      <c r="J975">
        <v>15740972</v>
      </c>
      <c r="K975">
        <v>29.03</v>
      </c>
      <c r="L975">
        <v>3.97</v>
      </c>
      <c r="M975">
        <v>-5.78</v>
      </c>
      <c r="N975">
        <v>24.81</v>
      </c>
      <c r="O975">
        <v>180</v>
      </c>
      <c r="P975" t="s">
        <v>27</v>
      </c>
      <c r="Q975" t="s">
        <v>34</v>
      </c>
      <c r="R975" t="s">
        <v>35</v>
      </c>
      <c r="S975">
        <v>2023</v>
      </c>
      <c r="T975" t="s">
        <v>36</v>
      </c>
      <c r="U975">
        <v>6561</v>
      </c>
      <c r="V975">
        <v>98.57</v>
      </c>
      <c r="W975">
        <v>57.65</v>
      </c>
      <c r="X975">
        <v>72.12</v>
      </c>
      <c r="Y975">
        <v>67.209999999999994</v>
      </c>
    </row>
    <row r="976" spans="1:25" x14ac:dyDescent="0.3">
      <c r="A976" t="s">
        <v>309</v>
      </c>
      <c r="B976" t="str">
        <f t="shared" si="15"/>
        <v>Feb</v>
      </c>
      <c r="C976" t="s">
        <v>25</v>
      </c>
      <c r="D976" t="s">
        <v>26</v>
      </c>
      <c r="E976">
        <v>491076458003.16998</v>
      </c>
      <c r="F976">
        <v>63065.94</v>
      </c>
      <c r="G976">
        <v>36791958772.349998</v>
      </c>
      <c r="H976">
        <v>6129408</v>
      </c>
      <c r="I976">
        <v>10730299</v>
      </c>
      <c r="J976">
        <v>11478378</v>
      </c>
      <c r="K976">
        <v>28.71</v>
      </c>
      <c r="L976">
        <v>-4.62</v>
      </c>
      <c r="M976">
        <v>6.83</v>
      </c>
      <c r="N976">
        <v>25.15</v>
      </c>
      <c r="O976">
        <v>196</v>
      </c>
      <c r="P976" t="s">
        <v>51</v>
      </c>
      <c r="Q976" t="s">
        <v>34</v>
      </c>
      <c r="R976" t="s">
        <v>42</v>
      </c>
      <c r="S976">
        <v>2022</v>
      </c>
      <c r="T976" t="s">
        <v>30</v>
      </c>
      <c r="U976">
        <v>55932</v>
      </c>
      <c r="V976">
        <v>49.05</v>
      </c>
      <c r="W976">
        <v>73.709999999999994</v>
      </c>
      <c r="X976">
        <v>34.24</v>
      </c>
      <c r="Y976">
        <v>97.12</v>
      </c>
    </row>
    <row r="977" spans="1:25" x14ac:dyDescent="0.3">
      <c r="A977" t="s">
        <v>309</v>
      </c>
      <c r="B977" t="str">
        <f t="shared" si="15"/>
        <v>Feb</v>
      </c>
      <c r="C977" t="s">
        <v>78</v>
      </c>
      <c r="D977" t="s">
        <v>79</v>
      </c>
      <c r="E977">
        <v>384794811239.42999</v>
      </c>
      <c r="F977">
        <v>33269.550000000003</v>
      </c>
      <c r="G977">
        <v>43663682940.760002</v>
      </c>
      <c r="H977">
        <v>11397069</v>
      </c>
      <c r="I977">
        <v>13878215</v>
      </c>
      <c r="J977">
        <v>14108001</v>
      </c>
      <c r="K977">
        <v>12.29</v>
      </c>
      <c r="L977">
        <v>3.43</v>
      </c>
      <c r="M977">
        <v>7.16</v>
      </c>
      <c r="N977">
        <v>24.99</v>
      </c>
      <c r="O977">
        <v>186</v>
      </c>
      <c r="P977" t="s">
        <v>27</v>
      </c>
      <c r="Q977" t="s">
        <v>57</v>
      </c>
      <c r="R977" t="s">
        <v>29</v>
      </c>
      <c r="S977">
        <v>2023</v>
      </c>
      <c r="T977" t="s">
        <v>36</v>
      </c>
      <c r="U977">
        <v>57</v>
      </c>
      <c r="V977">
        <v>84.65</v>
      </c>
      <c r="W977">
        <v>41.66</v>
      </c>
      <c r="X977">
        <v>35.67</v>
      </c>
      <c r="Y977">
        <v>70.72</v>
      </c>
    </row>
    <row r="978" spans="1:25" x14ac:dyDescent="0.3">
      <c r="A978" t="s">
        <v>261</v>
      </c>
      <c r="B978" t="str">
        <f t="shared" si="15"/>
        <v>Feb</v>
      </c>
      <c r="C978" t="s">
        <v>49</v>
      </c>
      <c r="D978" t="s">
        <v>50</v>
      </c>
      <c r="E978">
        <v>780924853012.09998</v>
      </c>
      <c r="F978">
        <v>60899.16</v>
      </c>
      <c r="G978">
        <v>32500611621.82</v>
      </c>
      <c r="H978">
        <v>18068540</v>
      </c>
      <c r="I978">
        <v>19467024</v>
      </c>
      <c r="J978">
        <v>19859337</v>
      </c>
      <c r="K978">
        <v>42.22</v>
      </c>
      <c r="L978">
        <v>-0.48</v>
      </c>
      <c r="M978">
        <v>18.79</v>
      </c>
      <c r="N978">
        <v>31.44</v>
      </c>
      <c r="O978">
        <v>3</v>
      </c>
      <c r="P978" t="s">
        <v>40</v>
      </c>
      <c r="Q978" t="s">
        <v>57</v>
      </c>
      <c r="R978" t="s">
        <v>74</v>
      </c>
      <c r="S978">
        <v>2020</v>
      </c>
      <c r="T978" t="s">
        <v>36</v>
      </c>
      <c r="U978">
        <v>4963</v>
      </c>
      <c r="V978">
        <v>39.54</v>
      </c>
      <c r="W978">
        <v>32.65</v>
      </c>
      <c r="X978">
        <v>23.73</v>
      </c>
      <c r="Y978">
        <v>37.47</v>
      </c>
    </row>
    <row r="979" spans="1:25" x14ac:dyDescent="0.3">
      <c r="A979" t="s">
        <v>242</v>
      </c>
      <c r="B979" t="str">
        <f t="shared" si="15"/>
        <v>Oct</v>
      </c>
      <c r="C979" t="s">
        <v>60</v>
      </c>
      <c r="D979" t="s">
        <v>61</v>
      </c>
      <c r="E979">
        <v>368230139761.70001</v>
      </c>
      <c r="F979">
        <v>35652.03</v>
      </c>
      <c r="G979">
        <v>46336012290.959999</v>
      </c>
      <c r="H979">
        <v>14080853</v>
      </c>
      <c r="I979">
        <v>17533183</v>
      </c>
      <c r="J979">
        <v>17655524</v>
      </c>
      <c r="K979">
        <v>8.5500000000000007</v>
      </c>
      <c r="L979">
        <v>1.86</v>
      </c>
      <c r="M979">
        <v>3.92</v>
      </c>
      <c r="N979">
        <v>29.2</v>
      </c>
      <c r="O979">
        <v>63</v>
      </c>
      <c r="P979" t="s">
        <v>51</v>
      </c>
      <c r="Q979" t="s">
        <v>57</v>
      </c>
      <c r="R979" t="s">
        <v>29</v>
      </c>
      <c r="S979">
        <v>2013</v>
      </c>
      <c r="T979" t="s">
        <v>30</v>
      </c>
      <c r="U979">
        <v>5758</v>
      </c>
      <c r="V979">
        <v>52.22</v>
      </c>
      <c r="W979">
        <v>50.73</v>
      </c>
      <c r="X979">
        <v>44.68</v>
      </c>
      <c r="Y979">
        <v>89.87</v>
      </c>
    </row>
    <row r="980" spans="1:25" x14ac:dyDescent="0.3">
      <c r="A980" t="s">
        <v>285</v>
      </c>
      <c r="B980" t="str">
        <f t="shared" si="15"/>
        <v>Dec</v>
      </c>
      <c r="C980" t="s">
        <v>60</v>
      </c>
      <c r="D980" t="s">
        <v>61</v>
      </c>
      <c r="E980">
        <v>406252449661.20001</v>
      </c>
      <c r="F980">
        <v>22304.11</v>
      </c>
      <c r="G980">
        <v>11621521372.75</v>
      </c>
      <c r="H980">
        <v>17741982</v>
      </c>
      <c r="I980">
        <v>21015512</v>
      </c>
      <c r="J980">
        <v>21593540</v>
      </c>
      <c r="K980">
        <v>32.090000000000003</v>
      </c>
      <c r="L980">
        <v>0.82</v>
      </c>
      <c r="M980">
        <v>-16.579999999999998</v>
      </c>
      <c r="N980">
        <v>-26.73</v>
      </c>
      <c r="O980">
        <v>119</v>
      </c>
      <c r="P980" t="s">
        <v>53</v>
      </c>
      <c r="Q980" t="s">
        <v>34</v>
      </c>
      <c r="R980" t="s">
        <v>29</v>
      </c>
      <c r="S980">
        <v>2015</v>
      </c>
      <c r="T980" t="s">
        <v>30</v>
      </c>
      <c r="U980">
        <v>52774</v>
      </c>
      <c r="V980">
        <v>47.03</v>
      </c>
      <c r="W980">
        <v>80.89</v>
      </c>
      <c r="X980">
        <v>93.73</v>
      </c>
      <c r="Y980">
        <v>13.57</v>
      </c>
    </row>
    <row r="981" spans="1:25" x14ac:dyDescent="0.3">
      <c r="A981" t="s">
        <v>167</v>
      </c>
      <c r="B981" t="str">
        <f t="shared" si="15"/>
        <v>Jun</v>
      </c>
      <c r="C981" t="s">
        <v>25</v>
      </c>
      <c r="D981" t="s">
        <v>26</v>
      </c>
      <c r="E981">
        <v>154181048490</v>
      </c>
      <c r="F981">
        <v>58356.59</v>
      </c>
      <c r="G981">
        <v>21014865734.630001</v>
      </c>
      <c r="H981">
        <v>15932913</v>
      </c>
      <c r="I981">
        <v>19827088</v>
      </c>
      <c r="J981">
        <v>20417399</v>
      </c>
      <c r="K981">
        <v>39.43</v>
      </c>
      <c r="L981">
        <v>2.2200000000000002</v>
      </c>
      <c r="M981">
        <v>-11.82</v>
      </c>
      <c r="N981">
        <v>-13.63</v>
      </c>
      <c r="O981">
        <v>4</v>
      </c>
      <c r="P981" t="s">
        <v>40</v>
      </c>
      <c r="Q981" t="s">
        <v>57</v>
      </c>
      <c r="R981" t="s">
        <v>74</v>
      </c>
      <c r="S981">
        <v>2022</v>
      </c>
      <c r="T981" t="s">
        <v>30</v>
      </c>
      <c r="U981">
        <v>60055</v>
      </c>
      <c r="V981">
        <v>61.59</v>
      </c>
      <c r="W981">
        <v>70.55</v>
      </c>
      <c r="X981">
        <v>82.86</v>
      </c>
      <c r="Y981">
        <v>91.82</v>
      </c>
    </row>
    <row r="982" spans="1:25" x14ac:dyDescent="0.3">
      <c r="A982" t="s">
        <v>43</v>
      </c>
      <c r="B982" t="str">
        <f t="shared" si="15"/>
        <v>Nov</v>
      </c>
      <c r="C982" t="s">
        <v>25</v>
      </c>
      <c r="D982" t="s">
        <v>26</v>
      </c>
      <c r="E982">
        <v>650068151632.97998</v>
      </c>
      <c r="F982">
        <v>60690.12</v>
      </c>
      <c r="G982">
        <v>28906787081.650002</v>
      </c>
      <c r="H982">
        <v>18497459</v>
      </c>
      <c r="I982">
        <v>21380895</v>
      </c>
      <c r="J982">
        <v>21927029</v>
      </c>
      <c r="K982">
        <v>30.33</v>
      </c>
      <c r="L982">
        <v>-3.19</v>
      </c>
      <c r="M982">
        <v>-4.03</v>
      </c>
      <c r="N982">
        <v>21.45</v>
      </c>
      <c r="O982">
        <v>112</v>
      </c>
      <c r="P982" t="s">
        <v>40</v>
      </c>
      <c r="Q982" t="s">
        <v>28</v>
      </c>
      <c r="R982" t="s">
        <v>42</v>
      </c>
      <c r="S982">
        <v>2016</v>
      </c>
      <c r="T982" t="s">
        <v>30</v>
      </c>
      <c r="U982">
        <v>44613</v>
      </c>
      <c r="V982">
        <v>39.229999999999997</v>
      </c>
      <c r="W982">
        <v>41.6</v>
      </c>
      <c r="X982">
        <v>56.75</v>
      </c>
      <c r="Y982">
        <v>79.62</v>
      </c>
    </row>
    <row r="983" spans="1:25" x14ac:dyDescent="0.3">
      <c r="A983" t="s">
        <v>37</v>
      </c>
      <c r="B983" t="str">
        <f t="shared" si="15"/>
        <v>Jan</v>
      </c>
      <c r="C983" t="s">
        <v>44</v>
      </c>
      <c r="D983" t="s">
        <v>45</v>
      </c>
      <c r="E983">
        <v>476696272047.83002</v>
      </c>
      <c r="F983">
        <v>7167.68</v>
      </c>
      <c r="G983">
        <v>1858446204.9200001</v>
      </c>
      <c r="H983">
        <v>12920260</v>
      </c>
      <c r="I983">
        <v>13000446</v>
      </c>
      <c r="J983">
        <v>13280588</v>
      </c>
      <c r="K983">
        <v>50.14</v>
      </c>
      <c r="L983">
        <v>0.54</v>
      </c>
      <c r="M983">
        <v>-5.53</v>
      </c>
      <c r="N983">
        <v>16.329999999999998</v>
      </c>
      <c r="O983">
        <v>8</v>
      </c>
      <c r="P983" t="s">
        <v>27</v>
      </c>
      <c r="Q983" t="s">
        <v>57</v>
      </c>
      <c r="R983" t="s">
        <v>35</v>
      </c>
      <c r="S983">
        <v>2012</v>
      </c>
      <c r="T983" t="s">
        <v>36</v>
      </c>
      <c r="U983">
        <v>27234</v>
      </c>
      <c r="V983">
        <v>80.400000000000006</v>
      </c>
      <c r="W983">
        <v>78.97</v>
      </c>
      <c r="X983">
        <v>52.29</v>
      </c>
      <c r="Y983">
        <v>40.03</v>
      </c>
    </row>
    <row r="984" spans="1:25" x14ac:dyDescent="0.3">
      <c r="A984" t="s">
        <v>70</v>
      </c>
      <c r="B984" t="str">
        <f t="shared" si="15"/>
        <v>Dec</v>
      </c>
      <c r="C984" t="s">
        <v>32</v>
      </c>
      <c r="D984" t="s">
        <v>33</v>
      </c>
      <c r="E984">
        <v>114964823359.37</v>
      </c>
      <c r="F984">
        <v>14833.65</v>
      </c>
      <c r="G984">
        <v>23689670166.25</v>
      </c>
      <c r="H984">
        <v>13079003</v>
      </c>
      <c r="I984">
        <v>18060665</v>
      </c>
      <c r="J984">
        <v>18302419</v>
      </c>
      <c r="K984">
        <v>30.89</v>
      </c>
      <c r="L984">
        <v>0.84</v>
      </c>
      <c r="M984">
        <v>6.61</v>
      </c>
      <c r="N984">
        <v>-34.369999999999997</v>
      </c>
      <c r="O984">
        <v>163</v>
      </c>
      <c r="P984" t="s">
        <v>27</v>
      </c>
      <c r="Q984" t="s">
        <v>47</v>
      </c>
      <c r="R984" t="s">
        <v>29</v>
      </c>
      <c r="S984">
        <v>2016</v>
      </c>
      <c r="T984" t="s">
        <v>36</v>
      </c>
      <c r="U984">
        <v>848</v>
      </c>
      <c r="V984">
        <v>93.87</v>
      </c>
      <c r="W984">
        <v>81.099999999999994</v>
      </c>
      <c r="X984">
        <v>53.73</v>
      </c>
      <c r="Y984">
        <v>70.81</v>
      </c>
    </row>
    <row r="985" spans="1:25" x14ac:dyDescent="0.3">
      <c r="A985" t="s">
        <v>216</v>
      </c>
      <c r="B985" t="str">
        <f t="shared" si="15"/>
        <v>Sep</v>
      </c>
      <c r="C985" t="s">
        <v>44</v>
      </c>
      <c r="D985" t="s">
        <v>45</v>
      </c>
      <c r="E985">
        <v>496976771314.09998</v>
      </c>
      <c r="F985">
        <v>23687.8</v>
      </c>
      <c r="G985">
        <v>25593180880.240002</v>
      </c>
      <c r="H985">
        <v>7667291</v>
      </c>
      <c r="I985">
        <v>8751283</v>
      </c>
      <c r="J985">
        <v>9081720</v>
      </c>
      <c r="K985">
        <v>21.64</v>
      </c>
      <c r="L985">
        <v>0.02</v>
      </c>
      <c r="M985">
        <v>-14.87</v>
      </c>
      <c r="N985">
        <v>32.9</v>
      </c>
      <c r="O985">
        <v>107</v>
      </c>
      <c r="P985" t="s">
        <v>46</v>
      </c>
      <c r="Q985" t="s">
        <v>47</v>
      </c>
      <c r="R985" t="s">
        <v>64</v>
      </c>
      <c r="S985">
        <v>2013</v>
      </c>
      <c r="T985" t="s">
        <v>36</v>
      </c>
      <c r="U985">
        <v>49720</v>
      </c>
      <c r="V985">
        <v>70.2</v>
      </c>
      <c r="W985">
        <v>57.94</v>
      </c>
      <c r="X985">
        <v>51.13</v>
      </c>
      <c r="Y985">
        <v>30.57</v>
      </c>
    </row>
    <row r="986" spans="1:25" x14ac:dyDescent="0.3">
      <c r="A986" t="s">
        <v>66</v>
      </c>
      <c r="B986" t="str">
        <f t="shared" si="15"/>
        <v>Apr</v>
      </c>
      <c r="C986" t="s">
        <v>38</v>
      </c>
      <c r="D986" t="s">
        <v>39</v>
      </c>
      <c r="E986">
        <v>87107230734.75</v>
      </c>
      <c r="F986">
        <v>66922.16</v>
      </c>
      <c r="G986">
        <v>35100451364.330002</v>
      </c>
      <c r="H986">
        <v>5843924</v>
      </c>
      <c r="I986">
        <v>9073068</v>
      </c>
      <c r="J986">
        <v>9271632</v>
      </c>
      <c r="K986">
        <v>27.46</v>
      </c>
      <c r="L986">
        <v>-2.31</v>
      </c>
      <c r="M986">
        <v>-11.06</v>
      </c>
      <c r="N986">
        <v>29.2</v>
      </c>
      <c r="O986">
        <v>39</v>
      </c>
      <c r="P986" t="s">
        <v>46</v>
      </c>
      <c r="Q986" t="s">
        <v>47</v>
      </c>
      <c r="R986" t="s">
        <v>64</v>
      </c>
      <c r="S986">
        <v>2014</v>
      </c>
      <c r="T986" t="s">
        <v>36</v>
      </c>
      <c r="U986">
        <v>35348</v>
      </c>
      <c r="V986">
        <v>16.97</v>
      </c>
      <c r="W986">
        <v>25.47</v>
      </c>
      <c r="X986">
        <v>51.78</v>
      </c>
      <c r="Y986">
        <v>13.82</v>
      </c>
    </row>
    <row r="987" spans="1:25" x14ac:dyDescent="0.3">
      <c r="A987" t="s">
        <v>248</v>
      </c>
      <c r="B987" t="str">
        <f t="shared" si="15"/>
        <v>May</v>
      </c>
      <c r="C987" t="s">
        <v>38</v>
      </c>
      <c r="D987" t="s">
        <v>39</v>
      </c>
      <c r="E987">
        <v>835403363719.78003</v>
      </c>
      <c r="F987">
        <v>39224.1</v>
      </c>
      <c r="G987">
        <v>4392196772.5299997</v>
      </c>
      <c r="H987">
        <v>7310731</v>
      </c>
      <c r="I987">
        <v>10730195</v>
      </c>
      <c r="J987">
        <v>11290213</v>
      </c>
      <c r="K987">
        <v>49.09</v>
      </c>
      <c r="L987">
        <v>-4.87</v>
      </c>
      <c r="M987">
        <v>16.309999999999999</v>
      </c>
      <c r="N987">
        <v>7.6</v>
      </c>
      <c r="O987">
        <v>23</v>
      </c>
      <c r="P987" t="s">
        <v>46</v>
      </c>
      <c r="Q987" t="s">
        <v>28</v>
      </c>
      <c r="R987" t="s">
        <v>42</v>
      </c>
      <c r="S987">
        <v>2017</v>
      </c>
      <c r="T987" t="s">
        <v>36</v>
      </c>
      <c r="U987">
        <v>52702</v>
      </c>
      <c r="V987">
        <v>43.77</v>
      </c>
      <c r="W987">
        <v>51.35</v>
      </c>
      <c r="X987">
        <v>42.01</v>
      </c>
      <c r="Y987">
        <v>68.95</v>
      </c>
    </row>
    <row r="988" spans="1:25" x14ac:dyDescent="0.3">
      <c r="A988" t="s">
        <v>323</v>
      </c>
      <c r="B988" t="str">
        <f t="shared" si="15"/>
        <v>Mar</v>
      </c>
      <c r="C988" t="s">
        <v>60</v>
      </c>
      <c r="D988" t="s">
        <v>61</v>
      </c>
      <c r="E988">
        <v>671674684814.30005</v>
      </c>
      <c r="F988">
        <v>43989.09</v>
      </c>
      <c r="G988">
        <v>17823824117.84</v>
      </c>
      <c r="H988">
        <v>9304335</v>
      </c>
      <c r="I988">
        <v>11037590</v>
      </c>
      <c r="J988">
        <v>11870873</v>
      </c>
      <c r="K988">
        <v>37.53</v>
      </c>
      <c r="L988">
        <v>-4.22</v>
      </c>
      <c r="M988">
        <v>11.18</v>
      </c>
      <c r="N988">
        <v>25.42</v>
      </c>
      <c r="O988">
        <v>128</v>
      </c>
      <c r="P988" t="s">
        <v>53</v>
      </c>
      <c r="Q988" t="s">
        <v>28</v>
      </c>
      <c r="R988" t="s">
        <v>29</v>
      </c>
      <c r="S988">
        <v>2022</v>
      </c>
      <c r="T988" t="s">
        <v>30</v>
      </c>
      <c r="U988">
        <v>42598</v>
      </c>
      <c r="V988">
        <v>83.47</v>
      </c>
      <c r="W988">
        <v>81.62</v>
      </c>
      <c r="X988">
        <v>90.22</v>
      </c>
      <c r="Y988">
        <v>11.25</v>
      </c>
    </row>
    <row r="989" spans="1:25" x14ac:dyDescent="0.3">
      <c r="A989" t="s">
        <v>186</v>
      </c>
      <c r="B989" t="str">
        <f t="shared" si="15"/>
        <v>Sep</v>
      </c>
      <c r="C989" t="s">
        <v>25</v>
      </c>
      <c r="D989" t="s">
        <v>26</v>
      </c>
      <c r="E989">
        <v>422449571829.87</v>
      </c>
      <c r="F989">
        <v>27915.47</v>
      </c>
      <c r="G989">
        <v>37395497204.860001</v>
      </c>
      <c r="H989">
        <v>9896521</v>
      </c>
      <c r="I989">
        <v>11460503</v>
      </c>
      <c r="J989">
        <v>11484795</v>
      </c>
      <c r="K989">
        <v>3.07</v>
      </c>
      <c r="L989">
        <v>3.38</v>
      </c>
      <c r="M989">
        <v>15.63</v>
      </c>
      <c r="N989">
        <v>-37.06</v>
      </c>
      <c r="O989">
        <v>126</v>
      </c>
      <c r="P989" t="s">
        <v>46</v>
      </c>
      <c r="Q989" t="s">
        <v>41</v>
      </c>
      <c r="R989" t="s">
        <v>74</v>
      </c>
      <c r="S989">
        <v>2012</v>
      </c>
      <c r="T989" t="s">
        <v>30</v>
      </c>
      <c r="U989">
        <v>19336</v>
      </c>
      <c r="V989">
        <v>66.88</v>
      </c>
      <c r="W989">
        <v>71.930000000000007</v>
      </c>
      <c r="X989">
        <v>25.89</v>
      </c>
      <c r="Y989">
        <v>52.1</v>
      </c>
    </row>
    <row r="990" spans="1:25" x14ac:dyDescent="0.3">
      <c r="A990" t="s">
        <v>231</v>
      </c>
      <c r="B990" t="str">
        <f t="shared" si="15"/>
        <v>May</v>
      </c>
      <c r="C990" t="s">
        <v>38</v>
      </c>
      <c r="D990" t="s">
        <v>39</v>
      </c>
      <c r="E990">
        <v>679050164258.96997</v>
      </c>
      <c r="F990">
        <v>26639.64</v>
      </c>
      <c r="G990">
        <v>31407583016.98</v>
      </c>
      <c r="H990">
        <v>12189167</v>
      </c>
      <c r="I990">
        <v>12289037</v>
      </c>
      <c r="J990">
        <v>12726828</v>
      </c>
      <c r="K990">
        <v>1.61</v>
      </c>
      <c r="L990">
        <v>4.93</v>
      </c>
      <c r="M990">
        <v>-13.51</v>
      </c>
      <c r="N990">
        <v>23.52</v>
      </c>
      <c r="O990">
        <v>174</v>
      </c>
      <c r="P990" t="s">
        <v>40</v>
      </c>
      <c r="Q990" t="s">
        <v>41</v>
      </c>
      <c r="R990" t="s">
        <v>42</v>
      </c>
      <c r="S990">
        <v>2021</v>
      </c>
      <c r="T990" t="s">
        <v>36</v>
      </c>
      <c r="U990">
        <v>36885</v>
      </c>
      <c r="V990">
        <v>86.62</v>
      </c>
      <c r="W990">
        <v>80.37</v>
      </c>
      <c r="X990">
        <v>68.41</v>
      </c>
      <c r="Y990">
        <v>80.319999999999993</v>
      </c>
    </row>
    <row r="991" spans="1:25" x14ac:dyDescent="0.3">
      <c r="A991" t="s">
        <v>182</v>
      </c>
      <c r="B991" t="str">
        <f t="shared" si="15"/>
        <v>Jun</v>
      </c>
      <c r="C991" t="s">
        <v>78</v>
      </c>
      <c r="D991" t="s">
        <v>79</v>
      </c>
      <c r="E991">
        <v>248104508405.13</v>
      </c>
      <c r="F991">
        <v>7274.26</v>
      </c>
      <c r="G991">
        <v>37317270530.440002</v>
      </c>
      <c r="H991">
        <v>8933218</v>
      </c>
      <c r="I991">
        <v>10040428</v>
      </c>
      <c r="J991">
        <v>10549535</v>
      </c>
      <c r="K991">
        <v>53.37</v>
      </c>
      <c r="L991">
        <v>2.9</v>
      </c>
      <c r="M991">
        <v>6.52</v>
      </c>
      <c r="N991">
        <v>-17.239999999999998</v>
      </c>
      <c r="O991">
        <v>189</v>
      </c>
      <c r="P991" t="s">
        <v>40</v>
      </c>
      <c r="Q991" t="s">
        <v>34</v>
      </c>
      <c r="R991" t="s">
        <v>35</v>
      </c>
      <c r="S991">
        <v>2013</v>
      </c>
      <c r="T991" t="s">
        <v>36</v>
      </c>
      <c r="U991">
        <v>52236</v>
      </c>
      <c r="V991">
        <v>49.87</v>
      </c>
      <c r="W991">
        <v>72.28</v>
      </c>
      <c r="X991">
        <v>32.549999999999997</v>
      </c>
      <c r="Y991">
        <v>60.05</v>
      </c>
    </row>
    <row r="992" spans="1:25" x14ac:dyDescent="0.3">
      <c r="A992" t="s">
        <v>201</v>
      </c>
      <c r="B992" t="str">
        <f t="shared" si="15"/>
        <v>May</v>
      </c>
      <c r="C992" t="s">
        <v>60</v>
      </c>
      <c r="D992" t="s">
        <v>61</v>
      </c>
      <c r="E992">
        <v>123919587609.66</v>
      </c>
      <c r="F992">
        <v>59585.59</v>
      </c>
      <c r="G992">
        <v>2911369251.4699998</v>
      </c>
      <c r="H992">
        <v>9399160</v>
      </c>
      <c r="I992">
        <v>10694585</v>
      </c>
      <c r="J992">
        <v>11625543</v>
      </c>
      <c r="K992">
        <v>56.07</v>
      </c>
      <c r="L992">
        <v>-2.1</v>
      </c>
      <c r="M992">
        <v>0.85</v>
      </c>
      <c r="N992">
        <v>6.01</v>
      </c>
      <c r="O992">
        <v>92</v>
      </c>
      <c r="P992" t="s">
        <v>51</v>
      </c>
      <c r="Q992" t="s">
        <v>47</v>
      </c>
      <c r="R992" t="s">
        <v>35</v>
      </c>
      <c r="S992">
        <v>2023</v>
      </c>
      <c r="T992" t="s">
        <v>30</v>
      </c>
      <c r="U992">
        <v>13057</v>
      </c>
      <c r="V992">
        <v>17.14</v>
      </c>
      <c r="W992">
        <v>64.12</v>
      </c>
      <c r="X992">
        <v>59.89</v>
      </c>
      <c r="Y992">
        <v>47.12</v>
      </c>
    </row>
    <row r="993" spans="1:25" x14ac:dyDescent="0.3">
      <c r="A993" t="s">
        <v>200</v>
      </c>
      <c r="B993" t="str">
        <f t="shared" si="15"/>
        <v>Apr</v>
      </c>
      <c r="C993" t="s">
        <v>44</v>
      </c>
      <c r="D993" t="s">
        <v>45</v>
      </c>
      <c r="E993">
        <v>328547587737.89001</v>
      </c>
      <c r="F993">
        <v>30560.47</v>
      </c>
      <c r="G993">
        <v>49030044169.540001</v>
      </c>
      <c r="H993">
        <v>9452707</v>
      </c>
      <c r="I993">
        <v>11160445</v>
      </c>
      <c r="J993">
        <v>11396878</v>
      </c>
      <c r="K993">
        <v>50.22</v>
      </c>
      <c r="L993">
        <v>-1.73</v>
      </c>
      <c r="M993">
        <v>7.95</v>
      </c>
      <c r="N993">
        <v>26.33</v>
      </c>
      <c r="O993">
        <v>128</v>
      </c>
      <c r="P993" t="s">
        <v>40</v>
      </c>
      <c r="Q993" t="s">
        <v>41</v>
      </c>
      <c r="R993" t="s">
        <v>29</v>
      </c>
      <c r="S993">
        <v>2013</v>
      </c>
      <c r="T993" t="s">
        <v>36</v>
      </c>
      <c r="U993">
        <v>56181</v>
      </c>
      <c r="V993">
        <v>62.63</v>
      </c>
      <c r="W993">
        <v>55.69</v>
      </c>
      <c r="X993">
        <v>18.309999999999999</v>
      </c>
      <c r="Y993">
        <v>42.35</v>
      </c>
    </row>
    <row r="994" spans="1:25" x14ac:dyDescent="0.3">
      <c r="A994" t="s">
        <v>382</v>
      </c>
      <c r="B994" t="str">
        <f t="shared" si="15"/>
        <v>Feb</v>
      </c>
      <c r="C994" t="s">
        <v>49</v>
      </c>
      <c r="D994" t="s">
        <v>50</v>
      </c>
      <c r="E994">
        <v>575700462259</v>
      </c>
      <c r="F994">
        <v>48791.72</v>
      </c>
      <c r="G994">
        <v>1180688130.47</v>
      </c>
      <c r="H994">
        <v>15518922</v>
      </c>
      <c r="I994">
        <v>16230515</v>
      </c>
      <c r="J994">
        <v>16469018</v>
      </c>
      <c r="K994">
        <v>24.36</v>
      </c>
      <c r="L994">
        <v>-2.71</v>
      </c>
      <c r="M994">
        <v>-19.079999999999998</v>
      </c>
      <c r="N994">
        <v>-9.02</v>
      </c>
      <c r="O994">
        <v>153</v>
      </c>
      <c r="P994" t="s">
        <v>46</v>
      </c>
      <c r="Q994" t="s">
        <v>57</v>
      </c>
      <c r="R994" t="s">
        <v>42</v>
      </c>
      <c r="S994">
        <v>2021</v>
      </c>
      <c r="T994" t="s">
        <v>36</v>
      </c>
      <c r="U994">
        <v>26353</v>
      </c>
      <c r="V994">
        <v>34.08</v>
      </c>
      <c r="W994">
        <v>44.55</v>
      </c>
      <c r="X994">
        <v>56.11</v>
      </c>
      <c r="Y994">
        <v>47.14</v>
      </c>
    </row>
    <row r="995" spans="1:25" x14ac:dyDescent="0.3">
      <c r="A995" t="s">
        <v>205</v>
      </c>
      <c r="B995" t="str">
        <f t="shared" si="15"/>
        <v>Dec</v>
      </c>
      <c r="C995" t="s">
        <v>25</v>
      </c>
      <c r="D995" t="s">
        <v>26</v>
      </c>
      <c r="E995">
        <v>357734473252.21997</v>
      </c>
      <c r="F995">
        <v>18218.099999999999</v>
      </c>
      <c r="G995">
        <v>19655104292.139999</v>
      </c>
      <c r="H995">
        <v>4445353</v>
      </c>
      <c r="I995">
        <v>5637690</v>
      </c>
      <c r="J995">
        <v>5758933</v>
      </c>
      <c r="K995">
        <v>30.68</v>
      </c>
      <c r="L995">
        <v>0.87</v>
      </c>
      <c r="M995">
        <v>19.420000000000002</v>
      </c>
      <c r="N995">
        <v>6.1</v>
      </c>
      <c r="O995">
        <v>167</v>
      </c>
      <c r="P995" t="s">
        <v>27</v>
      </c>
      <c r="Q995" t="s">
        <v>57</v>
      </c>
      <c r="R995" t="s">
        <v>35</v>
      </c>
      <c r="S995">
        <v>2015</v>
      </c>
      <c r="T995" t="s">
        <v>30</v>
      </c>
      <c r="U995">
        <v>19629</v>
      </c>
      <c r="V995">
        <v>29.75</v>
      </c>
      <c r="W995">
        <v>94.62</v>
      </c>
      <c r="X995">
        <v>83.79</v>
      </c>
      <c r="Y995">
        <v>67.31</v>
      </c>
    </row>
    <row r="996" spans="1:25" x14ac:dyDescent="0.3">
      <c r="A996" t="s">
        <v>144</v>
      </c>
      <c r="B996" t="str">
        <f t="shared" si="15"/>
        <v>Dec</v>
      </c>
      <c r="C996" t="s">
        <v>49</v>
      </c>
      <c r="D996" t="s">
        <v>50</v>
      </c>
      <c r="E996">
        <v>240500716499.57001</v>
      </c>
      <c r="F996">
        <v>16993.599999999999</v>
      </c>
      <c r="G996">
        <v>39702960232.699997</v>
      </c>
      <c r="H996">
        <v>17586171</v>
      </c>
      <c r="I996">
        <v>18783188</v>
      </c>
      <c r="J996">
        <v>19722630</v>
      </c>
      <c r="K996">
        <v>51.95</v>
      </c>
      <c r="L996">
        <v>-3.37</v>
      </c>
      <c r="M996">
        <v>-7.24</v>
      </c>
      <c r="N996">
        <v>-24.66</v>
      </c>
      <c r="O996">
        <v>22</v>
      </c>
      <c r="P996" t="s">
        <v>40</v>
      </c>
      <c r="Q996" t="s">
        <v>41</v>
      </c>
      <c r="R996" t="s">
        <v>74</v>
      </c>
      <c r="S996">
        <v>2016</v>
      </c>
      <c r="T996" t="s">
        <v>36</v>
      </c>
      <c r="U996">
        <v>2417</v>
      </c>
      <c r="V996">
        <v>97.27</v>
      </c>
      <c r="W996">
        <v>26.02</v>
      </c>
      <c r="X996">
        <v>62.28</v>
      </c>
      <c r="Y996">
        <v>41.62</v>
      </c>
    </row>
    <row r="997" spans="1:25" x14ac:dyDescent="0.3">
      <c r="A997" t="s">
        <v>190</v>
      </c>
      <c r="B997" t="str">
        <f t="shared" si="15"/>
        <v>Aug</v>
      </c>
      <c r="C997" t="s">
        <v>78</v>
      </c>
      <c r="D997" t="s">
        <v>79</v>
      </c>
      <c r="E997">
        <v>757827327905.18005</v>
      </c>
      <c r="F997">
        <v>20055.060000000001</v>
      </c>
      <c r="G997">
        <v>2229464083</v>
      </c>
      <c r="H997">
        <v>6799770</v>
      </c>
      <c r="I997">
        <v>8411887</v>
      </c>
      <c r="J997">
        <v>9401812</v>
      </c>
      <c r="K997">
        <v>14.56</v>
      </c>
      <c r="L997">
        <v>1.71</v>
      </c>
      <c r="M997">
        <v>-19.91</v>
      </c>
      <c r="N997">
        <v>21.07</v>
      </c>
      <c r="O997">
        <v>105</v>
      </c>
      <c r="P997" t="s">
        <v>51</v>
      </c>
      <c r="Q997" t="s">
        <v>41</v>
      </c>
      <c r="R997" t="s">
        <v>74</v>
      </c>
      <c r="S997">
        <v>2020</v>
      </c>
      <c r="T997" t="s">
        <v>36</v>
      </c>
      <c r="U997">
        <v>3322</v>
      </c>
      <c r="V997">
        <v>89.26</v>
      </c>
      <c r="W997">
        <v>53.79</v>
      </c>
      <c r="X997">
        <v>92.84</v>
      </c>
      <c r="Y997">
        <v>63.92</v>
      </c>
    </row>
    <row r="998" spans="1:25" x14ac:dyDescent="0.3">
      <c r="A998" t="s">
        <v>99</v>
      </c>
      <c r="B998" t="str">
        <f t="shared" si="15"/>
        <v>Aug</v>
      </c>
      <c r="C998" t="s">
        <v>55</v>
      </c>
      <c r="D998" t="s">
        <v>56</v>
      </c>
      <c r="E998">
        <v>36345727376.779999</v>
      </c>
      <c r="F998">
        <v>12664.24</v>
      </c>
      <c r="G998">
        <v>23553727436.43</v>
      </c>
      <c r="H998">
        <v>5687734</v>
      </c>
      <c r="I998">
        <v>10482511</v>
      </c>
      <c r="J998">
        <v>10767952</v>
      </c>
      <c r="K998">
        <v>39.43</v>
      </c>
      <c r="L998">
        <v>-0.57999999999999996</v>
      </c>
      <c r="M998">
        <v>-3.12</v>
      </c>
      <c r="N998">
        <v>29.42</v>
      </c>
      <c r="O998">
        <v>164</v>
      </c>
      <c r="P998" t="s">
        <v>40</v>
      </c>
      <c r="Q998" t="s">
        <v>28</v>
      </c>
      <c r="R998" t="s">
        <v>74</v>
      </c>
      <c r="S998">
        <v>2013</v>
      </c>
      <c r="T998" t="s">
        <v>58</v>
      </c>
      <c r="U998">
        <v>11921</v>
      </c>
      <c r="V998">
        <v>32.619999999999997</v>
      </c>
      <c r="W998">
        <v>60</v>
      </c>
      <c r="X998">
        <v>46.12</v>
      </c>
      <c r="Y998">
        <v>13.5</v>
      </c>
    </row>
    <row r="999" spans="1:25" x14ac:dyDescent="0.3">
      <c r="A999" t="s">
        <v>396</v>
      </c>
      <c r="B999" t="str">
        <f t="shared" si="15"/>
        <v>Dec</v>
      </c>
      <c r="C999" t="s">
        <v>68</v>
      </c>
      <c r="D999" t="s">
        <v>69</v>
      </c>
      <c r="E999">
        <v>652888152198.46997</v>
      </c>
      <c r="F999">
        <v>49122.12</v>
      </c>
      <c r="G999">
        <v>49896157658.519997</v>
      </c>
      <c r="H999">
        <v>9315474</v>
      </c>
      <c r="I999">
        <v>10799900</v>
      </c>
      <c r="J999">
        <v>11397219</v>
      </c>
      <c r="K999">
        <v>50.1</v>
      </c>
      <c r="L999">
        <v>0.5</v>
      </c>
      <c r="M999">
        <v>-6.03</v>
      </c>
      <c r="N999">
        <v>26.12</v>
      </c>
      <c r="O999">
        <v>106</v>
      </c>
      <c r="P999" t="s">
        <v>46</v>
      </c>
      <c r="Q999" t="s">
        <v>41</v>
      </c>
      <c r="R999" t="s">
        <v>29</v>
      </c>
      <c r="S999">
        <v>2016</v>
      </c>
      <c r="T999" t="s">
        <v>36</v>
      </c>
      <c r="U999">
        <v>19788</v>
      </c>
      <c r="V999">
        <v>39.229999999999997</v>
      </c>
      <c r="W999">
        <v>24.29</v>
      </c>
      <c r="X999">
        <v>19.48</v>
      </c>
      <c r="Y999">
        <v>34.700000000000003</v>
      </c>
    </row>
    <row r="1000" spans="1:25" x14ac:dyDescent="0.3">
      <c r="A1000" t="s">
        <v>138</v>
      </c>
      <c r="B1000" t="str">
        <f t="shared" si="15"/>
        <v>Feb</v>
      </c>
      <c r="C1000" t="s">
        <v>60</v>
      </c>
      <c r="D1000" t="s">
        <v>61</v>
      </c>
      <c r="E1000">
        <v>368996399629.21997</v>
      </c>
      <c r="F1000">
        <v>17543.009999999998</v>
      </c>
      <c r="G1000">
        <v>9345807331.9099998</v>
      </c>
      <c r="H1000">
        <v>8969697</v>
      </c>
      <c r="I1000">
        <v>12392994</v>
      </c>
      <c r="J1000">
        <v>12781472</v>
      </c>
      <c r="K1000">
        <v>51.58</v>
      </c>
      <c r="L1000">
        <v>-3.27</v>
      </c>
      <c r="M1000">
        <v>7.75</v>
      </c>
      <c r="N1000">
        <v>24.02</v>
      </c>
      <c r="O1000">
        <v>125</v>
      </c>
      <c r="P1000" t="s">
        <v>27</v>
      </c>
      <c r="Q1000" t="s">
        <v>47</v>
      </c>
      <c r="R1000" t="s">
        <v>74</v>
      </c>
      <c r="S1000">
        <v>2011</v>
      </c>
      <c r="T1000" t="s">
        <v>30</v>
      </c>
      <c r="U1000">
        <v>23659</v>
      </c>
      <c r="V1000">
        <v>86.63</v>
      </c>
      <c r="W1000">
        <v>21.29</v>
      </c>
      <c r="X1000">
        <v>96.58</v>
      </c>
      <c r="Y1000">
        <v>14.15</v>
      </c>
    </row>
    <row r="1001" spans="1:25" x14ac:dyDescent="0.3">
      <c r="A1001" t="s">
        <v>83</v>
      </c>
      <c r="B1001" t="str">
        <f t="shared" si="15"/>
        <v>Jan</v>
      </c>
      <c r="C1001" t="s">
        <v>90</v>
      </c>
      <c r="D1001" t="s">
        <v>91</v>
      </c>
      <c r="E1001">
        <v>467649079570.01001</v>
      </c>
      <c r="F1001">
        <v>13689.23</v>
      </c>
      <c r="G1001">
        <v>32888203432.080002</v>
      </c>
      <c r="H1001">
        <v>1048755</v>
      </c>
      <c r="I1001">
        <v>2395948</v>
      </c>
      <c r="J1001">
        <v>3230790</v>
      </c>
      <c r="K1001">
        <v>18.809999999999999</v>
      </c>
      <c r="L1001">
        <v>-4.4000000000000004</v>
      </c>
      <c r="M1001">
        <v>-7.64</v>
      </c>
      <c r="N1001">
        <v>18.059999999999999</v>
      </c>
      <c r="O1001">
        <v>85</v>
      </c>
      <c r="P1001" t="s">
        <v>40</v>
      </c>
      <c r="Q1001" t="s">
        <v>47</v>
      </c>
      <c r="R1001" t="s">
        <v>64</v>
      </c>
      <c r="S1001">
        <v>2010</v>
      </c>
      <c r="T1001" t="s">
        <v>30</v>
      </c>
      <c r="U1001">
        <v>27357</v>
      </c>
      <c r="V1001">
        <v>31.39</v>
      </c>
      <c r="W1001">
        <v>47.84</v>
      </c>
      <c r="X1001">
        <v>88.34</v>
      </c>
      <c r="Y1001">
        <v>72.88</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Tables</vt:lpstr>
      <vt:lpstr>Final Dashboard</vt: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Nandani Rajput</cp:lastModifiedBy>
  <dcterms:created xsi:type="dcterms:W3CDTF">2026-03-15T22:31:58Z</dcterms:created>
  <dcterms:modified xsi:type="dcterms:W3CDTF">2026-03-16T12:01:57Z</dcterms:modified>
</cp:coreProperties>
</file>